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r\Downloads\"/>
    </mc:Choice>
  </mc:AlternateContent>
  <xr:revisionPtr revIDLastSave="0" documentId="13_ncr:1_{6B574BBD-4466-42D7-989B-30093237DDAF}" xr6:coauthVersionLast="47" xr6:coauthVersionMax="47" xr10:uidLastSave="{00000000-0000-0000-0000-000000000000}"/>
  <bookViews>
    <workbookView xWindow="-108" yWindow="-108" windowWidth="23256" windowHeight="12456" xr2:uid="{AC01C8D0-6B61-45BA-8EBD-3EE062569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4" i="1" l="1"/>
  <c r="O34" i="1"/>
  <c r="V34" i="1"/>
  <c r="Z34" i="1"/>
  <c r="AB34" i="1"/>
  <c r="AE34" i="1"/>
  <c r="F34" i="1"/>
  <c r="A34" i="1"/>
  <c r="A1" i="1" l="1"/>
  <c r="D1" i="1"/>
  <c r="G1" i="1"/>
  <c r="J1" i="1"/>
  <c r="M1" i="1"/>
  <c r="Q1" i="1"/>
  <c r="T1" i="1"/>
  <c r="G4" i="1"/>
  <c r="M4" i="1"/>
  <c r="G5" i="1"/>
  <c r="L5" i="1"/>
  <c r="G6" i="1"/>
  <c r="M6" i="1"/>
  <c r="G7" i="1"/>
  <c r="M7" i="1"/>
  <c r="G8" i="1"/>
  <c r="M8" i="1"/>
  <c r="G9" i="1"/>
  <c r="M9" i="1"/>
  <c r="G10" i="1"/>
  <c r="M10" i="1"/>
  <c r="G11" i="1"/>
  <c r="M11" i="1"/>
  <c r="G12" i="1"/>
  <c r="M12" i="1"/>
  <c r="G13" i="1"/>
  <c r="M13" i="1"/>
  <c r="G14" i="1"/>
  <c r="M14" i="1"/>
  <c r="G15" i="1"/>
  <c r="M15" i="1"/>
  <c r="G16" i="1"/>
  <c r="M16" i="1"/>
  <c r="G17" i="1"/>
  <c r="M17" i="1"/>
  <c r="G18" i="1"/>
  <c r="M18" i="1"/>
  <c r="G19" i="1"/>
  <c r="M19" i="1"/>
  <c r="G20" i="1"/>
  <c r="M20" i="1"/>
  <c r="G21" i="1"/>
  <c r="M21" i="1"/>
  <c r="G22" i="1"/>
  <c r="M22" i="1"/>
  <c r="G23" i="1"/>
  <c r="M23" i="1"/>
  <c r="G24" i="1"/>
  <c r="M24" i="1"/>
  <c r="G25" i="1"/>
  <c r="M25" i="1"/>
  <c r="G26" i="1"/>
  <c r="M26" i="1"/>
  <c r="G27" i="1"/>
  <c r="M27" i="1"/>
  <c r="G28" i="1"/>
  <c r="M28" i="1"/>
  <c r="G29" i="1"/>
  <c r="M29" i="1"/>
  <c r="F30" i="1"/>
  <c r="G30" i="1" s="1"/>
  <c r="M30" i="1"/>
  <c r="F31" i="1" l="1"/>
  <c r="G31" i="1" s="1"/>
  <c r="I34" i="1"/>
  <c r="C34" i="1"/>
  <c r="L34" i="1"/>
  <c r="AG1" i="1"/>
  <c r="AD1" i="1"/>
  <c r="AA1" i="1"/>
  <c r="W1" i="1"/>
  <c r="AB64" i="1" l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E51" i="1"/>
  <c r="AB51" i="1"/>
  <c r="AE50" i="1"/>
  <c r="AB50" i="1"/>
  <c r="AE49" i="1"/>
  <c r="AB49" i="1"/>
  <c r="AE48" i="1"/>
  <c r="AB48" i="1"/>
  <c r="AE47" i="1"/>
  <c r="AB47" i="1"/>
  <c r="AE46" i="1"/>
  <c r="AB46" i="1"/>
  <c r="AE45" i="1"/>
  <c r="AB45" i="1"/>
  <c r="AE44" i="1"/>
  <c r="AB44" i="1"/>
  <c r="AE43" i="1"/>
  <c r="AB43" i="1"/>
  <c r="AE42" i="1"/>
  <c r="AB42" i="1"/>
  <c r="AE41" i="1"/>
  <c r="AB41" i="1"/>
  <c r="AE40" i="1"/>
  <c r="AB40" i="1"/>
  <c r="AE39" i="1"/>
  <c r="AB39" i="1"/>
  <c r="AE38" i="1"/>
  <c r="AB38" i="1"/>
  <c r="AE37" i="1"/>
  <c r="AB37" i="1"/>
  <c r="AE31" i="1"/>
  <c r="AE30" i="1"/>
  <c r="AB30" i="1"/>
  <c r="AE29" i="1"/>
  <c r="AB29" i="1"/>
  <c r="AE28" i="1"/>
  <c r="AB28" i="1"/>
  <c r="AE27" i="1"/>
  <c r="AB27" i="1"/>
  <c r="AE26" i="1"/>
  <c r="AB26" i="1"/>
  <c r="AE25" i="1"/>
  <c r="AB25" i="1"/>
  <c r="AE24" i="1"/>
  <c r="AB24" i="1"/>
  <c r="AE23" i="1"/>
  <c r="AB23" i="1"/>
  <c r="AE22" i="1"/>
  <c r="AB22" i="1"/>
  <c r="AE21" i="1"/>
  <c r="AB21" i="1"/>
  <c r="AE20" i="1"/>
  <c r="AB20" i="1"/>
  <c r="AE19" i="1"/>
  <c r="AB19" i="1"/>
  <c r="AH18" i="1"/>
  <c r="AE18" i="1"/>
  <c r="AB18" i="1"/>
  <c r="AH17" i="1"/>
  <c r="AE17" i="1"/>
  <c r="AB17" i="1"/>
  <c r="AH16" i="1"/>
  <c r="AE16" i="1"/>
  <c r="AB16" i="1"/>
  <c r="AH15" i="1"/>
  <c r="AE15" i="1"/>
  <c r="AB15" i="1"/>
  <c r="AH14" i="1"/>
  <c r="AE14" i="1"/>
  <c r="AB14" i="1"/>
  <c r="AH13" i="1"/>
  <c r="AE13" i="1"/>
  <c r="AB13" i="1"/>
  <c r="AH12" i="1"/>
  <c r="AE12" i="1"/>
  <c r="AB12" i="1"/>
  <c r="AH11" i="1"/>
  <c r="AE11" i="1"/>
  <c r="AB11" i="1"/>
  <c r="AH10" i="1"/>
  <c r="AE10" i="1"/>
  <c r="AB10" i="1"/>
  <c r="AH9" i="1"/>
  <c r="AE9" i="1"/>
  <c r="AB9" i="1"/>
  <c r="AH8" i="1"/>
  <c r="AE8" i="1"/>
  <c r="AB8" i="1"/>
  <c r="AH7" i="1"/>
  <c r="AE7" i="1"/>
  <c r="AB7" i="1"/>
  <c r="AH6" i="1"/>
  <c r="AE6" i="1"/>
  <c r="AB6" i="1"/>
  <c r="AH5" i="1"/>
  <c r="AE5" i="1"/>
  <c r="AB5" i="1"/>
  <c r="AH4" i="1"/>
  <c r="AE4" i="1"/>
  <c r="AB4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</calcChain>
</file>

<file path=xl/sharedStrings.xml><?xml version="1.0" encoding="utf-8"?>
<sst xmlns="http://schemas.openxmlformats.org/spreadsheetml/2006/main" count="57" uniqueCount="6">
  <si>
    <t>t(s)</t>
  </si>
  <si>
    <t>T_dim</t>
  </si>
  <si>
    <t>t_dim</t>
  </si>
  <si>
    <t>BUBBLE</t>
  </si>
  <si>
    <t>u/U0</t>
  </si>
  <si>
    <t>U/U0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</si>
</sst>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2" fillId="0" borderId="0" xfId="0" applyFont="1"/>
    <xf numFmtId="0" fontId="4" fillId="0" borderId="0" xfId="1" applyFon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B335-EF93-4673-A1CB-CF5010343683}">
  <dimension ref="A1:AL66"/>
  <sheetViews>
    <sheetView tabSelected="1" topLeftCell="A19" zoomScale="60" zoomScaleNormal="55" workbookViewId="0">
      <selection activeCell="A34" sqref="A34"/>
    </sheetView>
  </sheetViews>
  <sheetFormatPr defaultRowHeight="14.4" x14ac:dyDescent="0.3"/>
  <cols>
    <col min="4" max="4" width="12" bestFit="1" customWidth="1"/>
  </cols>
  <sheetData>
    <row r="1" spans="1:38" ht="15" x14ac:dyDescent="0.35">
      <c r="A1" s="4" t="str">
        <f>"A"&amp;_xlfn.UNICHAR(8348)&amp;" = 0.4, n = 1.2, K"&amp;_xlfn.UNICHAR(8321)</f>
        <v>Aₜ = 0.4, n = 1.2, K₁</v>
      </c>
      <c r="C1" s="1"/>
      <c r="D1" s="4" t="str">
        <f>"A"&amp;_xlfn.UNICHAR(8348)&amp;" = 0.4, n = 1.3, K"&amp;_xlfn.UNICHAR(8321)</f>
        <v>Aₜ = 0.4, n = 1.3, K₁</v>
      </c>
      <c r="F1" s="2"/>
      <c r="G1" s="4" t="str">
        <f>"A"&amp;_xlfn.UNICHAR(8348)&amp;" = 0.4, n = 1.4, K"&amp;_xlfn.UNICHAR(8321)</f>
        <v>Aₜ = 0.4, n = 1.4, K₁</v>
      </c>
      <c r="I1" s="3"/>
      <c r="J1" s="4" t="str">
        <f>"A"&amp;_xlfn.UNICHAR(8348)&amp;" = 0.4, n = 1.5, K"&amp;_xlfn.UNICHAR(8321)</f>
        <v>Aₜ = 0.4, n = 1.5, K₁</v>
      </c>
      <c r="M1" s="4" t="str">
        <f>"A"&amp;_xlfn.UNICHAR(8348)&amp;" = 0.4, n = 1, K"&amp;_xlfn.UNICHAR(8321)</f>
        <v>Aₜ = 0.4, n = 1, K₁</v>
      </c>
      <c r="Q1" s="4" t="str">
        <f>"A"&amp;_xlfn.UNICHAR(8348)&amp;" = 0.4, n = 1.2, K"&amp;_xlfn.UNICHAR(8322)</f>
        <v>Aₜ = 0.4, n = 1.2, K₂</v>
      </c>
      <c r="T1" s="4" t="str">
        <f>"A"&amp;_xlfn.UNICHAR(8348)&amp;" = 0.2, n = 1.2, K"&amp;_xlfn.UNICHAR(8322)</f>
        <v>Aₜ = 0.2, n = 1.2, K₂</v>
      </c>
      <c r="W1" s="4" t="str">
        <f>"A"&amp;_xlfn.UNICHAR(8348)&amp;" = 0.2, n = 1.2, K"&amp;_xlfn.UNICHAR(8321)</f>
        <v>Aₜ = 0.2, n = 1.2, K₁</v>
      </c>
      <c r="AA1" s="4" t="str">
        <f>"A"&amp;_xlfn.UNICHAR(8348)&amp;" = 0.2, n = 1.3, K"&amp;_xlfn.UNICHAR(8321)</f>
        <v>Aₜ = 0.2, n = 1.3, K₁</v>
      </c>
      <c r="AB1" s="2"/>
      <c r="AC1" s="2"/>
      <c r="AD1" s="4" t="str">
        <f>"A"&amp;_xlfn.UNICHAR(8348)&amp;" = 0.2, n = 1.4, K"&amp;_xlfn.UNICHAR(8321)</f>
        <v>Aₜ = 0.2, n = 1.4, K₁</v>
      </c>
      <c r="AE1" s="2"/>
      <c r="AG1" s="4" t="str">
        <f>"A"&amp;_xlfn.UNICHAR(8348)&amp;" = 0.2, n = 1.5, K"&amp;_xlfn.UNICHAR(8321)</f>
        <v>Aₜ = 0.2, n = 1.5, K₁</v>
      </c>
      <c r="AH1" s="3"/>
      <c r="AL1" s="3"/>
    </row>
    <row r="2" spans="1:38" x14ac:dyDescent="0.3">
      <c r="A2" t="s">
        <v>1</v>
      </c>
      <c r="B2" t="s">
        <v>5</v>
      </c>
      <c r="D2" t="s">
        <v>2</v>
      </c>
      <c r="E2" t="s">
        <v>4</v>
      </c>
      <c r="F2" t="s">
        <v>0</v>
      </c>
      <c r="G2" t="s">
        <v>2</v>
      </c>
      <c r="H2" t="s">
        <v>4</v>
      </c>
      <c r="J2" t="s">
        <v>2</v>
      </c>
      <c r="K2" t="s">
        <v>4</v>
      </c>
      <c r="L2" t="s">
        <v>0</v>
      </c>
      <c r="M2" t="s">
        <v>2</v>
      </c>
      <c r="N2" t="s">
        <v>4</v>
      </c>
      <c r="Q2" t="s">
        <v>2</v>
      </c>
      <c r="R2" t="s">
        <v>4</v>
      </c>
      <c r="T2" t="s">
        <v>2</v>
      </c>
      <c r="U2" t="s">
        <v>4</v>
      </c>
      <c r="W2" t="s">
        <v>0</v>
      </c>
      <c r="X2" t="s">
        <v>2</v>
      </c>
      <c r="Y2" t="s">
        <v>4</v>
      </c>
      <c r="AA2" t="s">
        <v>0</v>
      </c>
      <c r="AB2" t="s">
        <v>2</v>
      </c>
      <c r="AC2" t="s">
        <v>4</v>
      </c>
      <c r="AD2" t="s">
        <v>0</v>
      </c>
      <c r="AE2" t="s">
        <v>2</v>
      </c>
      <c r="AF2" t="s">
        <v>4</v>
      </c>
      <c r="AG2" t="s">
        <v>0</v>
      </c>
      <c r="AH2" t="s">
        <v>2</v>
      </c>
      <c r="AI2" t="s">
        <v>4</v>
      </c>
    </row>
    <row r="3" spans="1:38" ht="15" x14ac:dyDescent="0.35">
      <c r="A3">
        <v>0</v>
      </c>
      <c r="B3">
        <v>0</v>
      </c>
      <c r="D3">
        <v>0</v>
      </c>
      <c r="E3">
        <v>0</v>
      </c>
      <c r="F3">
        <v>0</v>
      </c>
      <c r="G3">
        <v>0</v>
      </c>
      <c r="H3">
        <v>0</v>
      </c>
      <c r="J3">
        <v>0</v>
      </c>
      <c r="K3">
        <v>0</v>
      </c>
      <c r="L3">
        <v>0</v>
      </c>
      <c r="M3">
        <v>0</v>
      </c>
      <c r="N3">
        <v>0</v>
      </c>
      <c r="Q3">
        <v>0</v>
      </c>
      <c r="R3">
        <v>0</v>
      </c>
      <c r="T3">
        <v>0</v>
      </c>
      <c r="U3">
        <v>0</v>
      </c>
      <c r="W3">
        <v>0</v>
      </c>
      <c r="X3">
        <v>0</v>
      </c>
      <c r="Y3">
        <v>0</v>
      </c>
      <c r="AA3" s="4"/>
      <c r="AB3">
        <v>0</v>
      </c>
      <c r="AC3">
        <v>0</v>
      </c>
      <c r="AD3" s="4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8" ht="15" x14ac:dyDescent="0.35">
      <c r="A4">
        <v>0.125</v>
      </c>
      <c r="B4">
        <v>3.2258046009636679E-2</v>
      </c>
      <c r="C4" s="5"/>
      <c r="D4">
        <v>0.125</v>
      </c>
      <c r="E4">
        <v>3.3182288863107368E-2</v>
      </c>
      <c r="F4" s="4">
        <v>2.8199999999999999E-2</v>
      </c>
      <c r="G4">
        <f>F4/0.2256</f>
        <v>0.125</v>
      </c>
      <c r="H4">
        <v>3.3546460251609921E-2</v>
      </c>
      <c r="J4">
        <v>0.125</v>
      </c>
      <c r="K4">
        <v>3.3762778484733372E-2</v>
      </c>
      <c r="L4" s="4">
        <v>5.6399999999999999E-2</v>
      </c>
      <c r="M4">
        <f>L4/0.2256</f>
        <v>0.25</v>
      </c>
      <c r="N4">
        <v>7.900684352092327E-2</v>
      </c>
      <c r="Q4">
        <v>0.125</v>
      </c>
      <c r="R4">
        <v>3.6231804802331027E-2</v>
      </c>
      <c r="T4">
        <v>0.125</v>
      </c>
      <c r="U4">
        <v>2.5975607653337372E-2</v>
      </c>
      <c r="W4" s="4">
        <v>0.08</v>
      </c>
      <c r="X4">
        <f t="shared" ref="X4:X29" si="0">W4/0.32</f>
        <v>0.25</v>
      </c>
      <c r="Y4">
        <v>4.6891724607891587E-2</v>
      </c>
      <c r="AA4" s="4">
        <v>0.04</v>
      </c>
      <c r="AB4">
        <f>AA4/0.32</f>
        <v>0.125</v>
      </c>
      <c r="AC4">
        <v>1.6862398928831755E-2</v>
      </c>
      <c r="AD4" s="4">
        <v>0.04</v>
      </c>
      <c r="AE4">
        <f>AD4/0.32</f>
        <v>0.125</v>
      </c>
      <c r="AF4">
        <v>2.0462633971136204E-2</v>
      </c>
      <c r="AG4" s="4">
        <v>0.08</v>
      </c>
      <c r="AH4">
        <f>AG4/0.32</f>
        <v>0.25</v>
      </c>
      <c r="AI4">
        <v>3.7256924783004332E-2</v>
      </c>
    </row>
    <row r="5" spans="1:38" ht="15" x14ac:dyDescent="0.35">
      <c r="A5">
        <v>0.25</v>
      </c>
      <c r="B5">
        <v>7.2583691232435868E-2</v>
      </c>
      <c r="C5" s="5"/>
      <c r="D5">
        <v>0.25</v>
      </c>
      <c r="E5">
        <v>7.2730759074097345E-2</v>
      </c>
      <c r="F5" s="4">
        <v>5.6399999999999999E-2</v>
      </c>
      <c r="G5">
        <f t="shared" ref="G5:G30" si="1">F5/0.2256</f>
        <v>0.25</v>
      </c>
      <c r="H5">
        <v>7.2103222021570906E-2</v>
      </c>
      <c r="J5">
        <v>0.25</v>
      </c>
      <c r="K5">
        <v>7.1118581404000403E-2</v>
      </c>
      <c r="L5" s="4">
        <f>0.375*0.2256</f>
        <v>8.4599999999999995E-2</v>
      </c>
      <c r="M5">
        <v>0.375</v>
      </c>
      <c r="N5">
        <v>0.12507191835279624</v>
      </c>
      <c r="Q5">
        <v>0.25</v>
      </c>
      <c r="R5">
        <v>7.9372371337241857E-2</v>
      </c>
      <c r="T5">
        <v>0.25</v>
      </c>
      <c r="U5">
        <v>5.6510532573319477E-2</v>
      </c>
      <c r="W5" s="4">
        <v>0.12</v>
      </c>
      <c r="X5">
        <f t="shared" si="0"/>
        <v>0.375</v>
      </c>
      <c r="Y5">
        <v>7.5744221985034915E-2</v>
      </c>
      <c r="AA5" s="4">
        <v>0.08</v>
      </c>
      <c r="AB5">
        <f t="shared" ref="AB5:AB30" si="2">AA5/0.32</f>
        <v>0.25</v>
      </c>
      <c r="AC5">
        <v>3.9283034174437841E-2</v>
      </c>
      <c r="AD5" s="4">
        <v>0.08</v>
      </c>
      <c r="AE5">
        <f t="shared" ref="AE5:AE30" si="3">AD5/0.32</f>
        <v>0.25</v>
      </c>
      <c r="AF5">
        <v>4.4672285257613756E-2</v>
      </c>
      <c r="AG5" s="4">
        <v>0.16</v>
      </c>
      <c r="AH5">
        <f t="shared" ref="AH5:AH18" si="4">AG5/0.32</f>
        <v>0.5</v>
      </c>
      <c r="AI5">
        <v>8.2538613485483359E-2</v>
      </c>
    </row>
    <row r="6" spans="1:38" ht="15" x14ac:dyDescent="0.35">
      <c r="A6">
        <v>0.375</v>
      </c>
      <c r="B6">
        <v>0.11683683314131438</v>
      </c>
      <c r="C6" s="5"/>
      <c r="D6">
        <v>0.375</v>
      </c>
      <c r="E6">
        <v>0.11594657295416935</v>
      </c>
      <c r="F6" s="4">
        <v>8.4599999999999995E-2</v>
      </c>
      <c r="G6">
        <f t="shared" si="1"/>
        <v>0.375</v>
      </c>
      <c r="H6">
        <v>0.11398757218951343</v>
      </c>
      <c r="J6">
        <v>0.375</v>
      </c>
      <c r="K6">
        <v>0.10900083008269065</v>
      </c>
      <c r="L6" s="4">
        <v>0.1128</v>
      </c>
      <c r="M6">
        <f>L6/0.2256</f>
        <v>0.5</v>
      </c>
      <c r="N6">
        <v>0.17097778867646282</v>
      </c>
      <c r="Q6">
        <v>0.375</v>
      </c>
      <c r="R6">
        <v>0.12531179596089795</v>
      </c>
      <c r="T6">
        <v>0.375</v>
      </c>
      <c r="U6">
        <v>8.7069159689135256E-2</v>
      </c>
      <c r="W6" s="4">
        <v>0.16</v>
      </c>
      <c r="X6">
        <f t="shared" si="0"/>
        <v>0.5</v>
      </c>
      <c r="Y6">
        <v>0.10430893758075231</v>
      </c>
      <c r="AA6" s="4">
        <v>0.12</v>
      </c>
      <c r="AB6">
        <f t="shared" si="2"/>
        <v>0.375</v>
      </c>
      <c r="AC6">
        <v>6.3767116909141969E-2</v>
      </c>
      <c r="AD6" s="4">
        <v>0.12</v>
      </c>
      <c r="AE6">
        <f t="shared" si="3"/>
        <v>0.375</v>
      </c>
      <c r="AF6">
        <v>7.0450850567563561E-2</v>
      </c>
      <c r="AG6" s="4">
        <v>0.24</v>
      </c>
      <c r="AH6">
        <f t="shared" si="4"/>
        <v>0.75</v>
      </c>
      <c r="AI6">
        <v>0.12691669166761799</v>
      </c>
    </row>
    <row r="7" spans="1:38" ht="15" x14ac:dyDescent="0.35">
      <c r="A7">
        <v>0.5</v>
      </c>
      <c r="B7">
        <v>0.16221011798012916</v>
      </c>
      <c r="C7" s="5"/>
      <c r="D7">
        <v>0.5</v>
      </c>
      <c r="E7">
        <v>0.16025397290171911</v>
      </c>
      <c r="F7" s="4">
        <v>0.1128</v>
      </c>
      <c r="G7">
        <f t="shared" si="1"/>
        <v>0.5</v>
      </c>
      <c r="H7">
        <v>0.15689639979815609</v>
      </c>
      <c r="J7">
        <v>0.5</v>
      </c>
      <c r="K7">
        <v>0.14629180892417681</v>
      </c>
      <c r="L7" s="4">
        <v>0.14099999999999999</v>
      </c>
      <c r="M7">
        <f t="shared" ref="M7:M30" si="5">L7/0.2256</f>
        <v>0.625</v>
      </c>
      <c r="N7">
        <v>0.21389018589291281</v>
      </c>
      <c r="Q7">
        <v>0.5</v>
      </c>
      <c r="R7">
        <v>0.17145468822951185</v>
      </c>
      <c r="T7">
        <v>0.5</v>
      </c>
      <c r="U7">
        <v>0.1161514684084312</v>
      </c>
      <c r="W7" s="4">
        <v>0.2</v>
      </c>
      <c r="X7">
        <f t="shared" si="0"/>
        <v>0.625</v>
      </c>
      <c r="Y7">
        <v>0.13077615162888986</v>
      </c>
      <c r="AA7" s="4">
        <v>0.16</v>
      </c>
      <c r="AB7">
        <f t="shared" si="2"/>
        <v>0.5</v>
      </c>
      <c r="AC7">
        <v>8.9987671057793844E-2</v>
      </c>
      <c r="AD7" s="4">
        <v>0.16</v>
      </c>
      <c r="AE7">
        <f t="shared" si="3"/>
        <v>0.5</v>
      </c>
      <c r="AF7">
        <v>9.442540748385117E-2</v>
      </c>
      <c r="AG7" s="4">
        <v>0.32</v>
      </c>
      <c r="AH7">
        <f t="shared" si="4"/>
        <v>1</v>
      </c>
      <c r="AI7">
        <v>0.16003479898234979</v>
      </c>
    </row>
    <row r="8" spans="1:38" ht="15" x14ac:dyDescent="0.35">
      <c r="A8">
        <v>0.625</v>
      </c>
      <c r="B8">
        <v>0.20517034794119723</v>
      </c>
      <c r="C8" s="5"/>
      <c r="D8">
        <v>0.625</v>
      </c>
      <c r="E8">
        <v>0.20151364170338101</v>
      </c>
      <c r="F8" s="4">
        <v>0.14099999999999999</v>
      </c>
      <c r="G8">
        <f t="shared" si="1"/>
        <v>0.625</v>
      </c>
      <c r="H8">
        <v>0.19594005607303522</v>
      </c>
      <c r="J8">
        <v>0.625</v>
      </c>
      <c r="K8">
        <v>0.18113475073140448</v>
      </c>
      <c r="L8" s="4">
        <v>0.16919999999999999</v>
      </c>
      <c r="M8">
        <f t="shared" si="5"/>
        <v>0.75</v>
      </c>
      <c r="N8">
        <v>0.24885021083622053</v>
      </c>
      <c r="Q8">
        <v>0.625</v>
      </c>
      <c r="R8">
        <v>0.21446203700109243</v>
      </c>
      <c r="T8">
        <v>0.625</v>
      </c>
      <c r="U8">
        <v>0.14149496991143312</v>
      </c>
      <c r="W8" s="4">
        <v>0.24000000000000002</v>
      </c>
      <c r="X8">
        <f t="shared" si="0"/>
        <v>0.75</v>
      </c>
      <c r="Y8">
        <v>0.15191893867163236</v>
      </c>
      <c r="AA8" s="4">
        <v>0.24</v>
      </c>
      <c r="AB8">
        <f t="shared" si="2"/>
        <v>0.75</v>
      </c>
      <c r="AC8">
        <v>0.13923398036754833</v>
      </c>
      <c r="AD8" s="4">
        <v>0.2</v>
      </c>
      <c r="AE8">
        <f t="shared" si="3"/>
        <v>0.625</v>
      </c>
      <c r="AF8">
        <v>0.11536829648938389</v>
      </c>
      <c r="AG8" s="4">
        <v>0.4</v>
      </c>
      <c r="AH8">
        <f t="shared" si="4"/>
        <v>1.25</v>
      </c>
      <c r="AI8">
        <v>0.17777931939252589</v>
      </c>
    </row>
    <row r="9" spans="1:38" ht="15" x14ac:dyDescent="0.35">
      <c r="A9">
        <v>0.75</v>
      </c>
      <c r="B9">
        <v>0.24135546228397636</v>
      </c>
      <c r="C9" s="5"/>
      <c r="D9">
        <v>0.75</v>
      </c>
      <c r="E9">
        <v>0.23676066311439706</v>
      </c>
      <c r="F9" s="4">
        <v>0.16919999999999999</v>
      </c>
      <c r="G9">
        <f t="shared" si="1"/>
        <v>0.75</v>
      </c>
      <c r="H9">
        <v>0.23006836239723791</v>
      </c>
      <c r="J9">
        <v>0.75</v>
      </c>
      <c r="K9">
        <v>0.21035770200679124</v>
      </c>
      <c r="L9" s="4">
        <v>0.19739999999999999</v>
      </c>
      <c r="M9">
        <f t="shared" si="5"/>
        <v>0.875</v>
      </c>
      <c r="N9">
        <v>0.27458065783292768</v>
      </c>
      <c r="Q9">
        <v>0.75</v>
      </c>
      <c r="R9">
        <v>0.24999534094789125</v>
      </c>
      <c r="T9">
        <v>0.75</v>
      </c>
      <c r="U9">
        <v>0.16109068892476863</v>
      </c>
      <c r="W9" s="4">
        <v>0.28000000000000003</v>
      </c>
      <c r="X9">
        <f t="shared" si="0"/>
        <v>0.87500000000000011</v>
      </c>
      <c r="Y9">
        <v>0.1679436220402428</v>
      </c>
      <c r="AA9" s="4">
        <v>0.28000000000000003</v>
      </c>
      <c r="AB9">
        <f t="shared" si="2"/>
        <v>0.87500000000000011</v>
      </c>
      <c r="AC9">
        <v>0.15838492625380757</v>
      </c>
      <c r="AD9" s="4">
        <v>0.24</v>
      </c>
      <c r="AE9">
        <f t="shared" si="3"/>
        <v>0.75</v>
      </c>
      <c r="AF9">
        <v>0.13462061923737098</v>
      </c>
      <c r="AG9" s="4">
        <v>0.48</v>
      </c>
      <c r="AH9">
        <f t="shared" si="4"/>
        <v>1.5</v>
      </c>
      <c r="AI9">
        <v>0.1826104265989496</v>
      </c>
    </row>
    <row r="10" spans="1:38" ht="15" x14ac:dyDescent="0.35">
      <c r="A10">
        <v>0.875</v>
      </c>
      <c r="B10">
        <v>0.27060054512776849</v>
      </c>
      <c r="C10" s="5"/>
      <c r="D10">
        <v>0.875</v>
      </c>
      <c r="E10">
        <v>0.26487489420483096</v>
      </c>
      <c r="F10" s="4">
        <v>0.19739999999999999</v>
      </c>
      <c r="G10">
        <f t="shared" si="1"/>
        <v>0.875</v>
      </c>
      <c r="H10">
        <v>0.25681900330527646</v>
      </c>
      <c r="J10">
        <v>0.875</v>
      </c>
      <c r="K10">
        <v>0.2365443448812736</v>
      </c>
      <c r="L10" s="4">
        <v>0.22559999999999999</v>
      </c>
      <c r="M10">
        <f t="shared" si="5"/>
        <v>1</v>
      </c>
      <c r="N10">
        <v>0.29068030296549185</v>
      </c>
      <c r="Q10">
        <v>0.875</v>
      </c>
      <c r="R10">
        <v>0.27648397263514668</v>
      </c>
      <c r="T10">
        <v>0.87500000000000011</v>
      </c>
      <c r="U10">
        <v>0.17422755957342742</v>
      </c>
      <c r="W10" s="4">
        <v>0.32</v>
      </c>
      <c r="X10">
        <f t="shared" si="0"/>
        <v>1</v>
      </c>
      <c r="Y10">
        <v>0.17812414350671277</v>
      </c>
      <c r="AA10" s="4">
        <v>0.32</v>
      </c>
      <c r="AB10">
        <f t="shared" si="2"/>
        <v>1</v>
      </c>
      <c r="AC10">
        <v>0.17249201630832697</v>
      </c>
      <c r="AD10" s="4">
        <v>0.28000000000000003</v>
      </c>
      <c r="AE10">
        <f t="shared" si="3"/>
        <v>0.87500000000000011</v>
      </c>
      <c r="AF10">
        <v>0.15104224299415514</v>
      </c>
      <c r="AG10" s="4">
        <v>0.56000000000000005</v>
      </c>
      <c r="AH10">
        <f t="shared" si="4"/>
        <v>1.7500000000000002</v>
      </c>
      <c r="AI10">
        <v>0.17538339863225427</v>
      </c>
    </row>
    <row r="11" spans="1:38" ht="15" x14ac:dyDescent="0.35">
      <c r="A11">
        <v>1</v>
      </c>
      <c r="B11">
        <v>0.28945592748758187</v>
      </c>
      <c r="C11" s="5"/>
      <c r="D11">
        <v>1</v>
      </c>
      <c r="E11">
        <v>0.28540156694003044</v>
      </c>
      <c r="F11" s="4">
        <v>0.22559999999999999</v>
      </c>
      <c r="G11">
        <f t="shared" si="1"/>
        <v>1</v>
      </c>
      <c r="H11">
        <v>0.27725572192373155</v>
      </c>
      <c r="J11">
        <v>1</v>
      </c>
      <c r="K11">
        <v>0.258296820937506</v>
      </c>
      <c r="L11" s="4">
        <v>0.25380000000000003</v>
      </c>
      <c r="M11">
        <f t="shared" si="5"/>
        <v>1.1250000000000002</v>
      </c>
      <c r="N11">
        <v>0.29799514328424714</v>
      </c>
      <c r="Q11">
        <v>1</v>
      </c>
      <c r="R11">
        <v>0.29440697343046102</v>
      </c>
      <c r="T11">
        <v>1</v>
      </c>
      <c r="U11">
        <v>0.18116330754102267</v>
      </c>
      <c r="W11" s="4">
        <v>0.36</v>
      </c>
      <c r="X11">
        <f t="shared" si="0"/>
        <v>1.125</v>
      </c>
      <c r="Y11">
        <v>0.18350639815858633</v>
      </c>
      <c r="AA11" s="4">
        <v>0.36</v>
      </c>
      <c r="AB11">
        <f t="shared" si="2"/>
        <v>1.125</v>
      </c>
      <c r="AC11">
        <v>0.18150242033555819</v>
      </c>
      <c r="AD11" s="4">
        <v>0.32</v>
      </c>
      <c r="AE11">
        <f t="shared" si="3"/>
        <v>1</v>
      </c>
      <c r="AF11">
        <v>0.16399206619754214</v>
      </c>
      <c r="AG11" s="4">
        <v>0.64</v>
      </c>
      <c r="AH11">
        <f t="shared" si="4"/>
        <v>2</v>
      </c>
      <c r="AI11">
        <v>0.16472669148428812</v>
      </c>
    </row>
    <row r="12" spans="1:38" ht="15" x14ac:dyDescent="0.35">
      <c r="A12">
        <v>1.1250000000000002</v>
      </c>
      <c r="B12">
        <v>0.30184389442209703</v>
      </c>
      <c r="C12" s="5"/>
      <c r="D12">
        <v>1.1250000000000002</v>
      </c>
      <c r="E12">
        <v>0.29939657130940006</v>
      </c>
      <c r="F12" s="4">
        <v>0.25380000000000003</v>
      </c>
      <c r="G12">
        <f t="shared" si="1"/>
        <v>1.1250000000000002</v>
      </c>
      <c r="H12">
        <v>0.29177617256233834</v>
      </c>
      <c r="J12">
        <v>1.1250000000000002</v>
      </c>
      <c r="K12">
        <v>0.2755615860583786</v>
      </c>
      <c r="L12" s="4">
        <v>0.28199999999999997</v>
      </c>
      <c r="M12">
        <f t="shared" si="5"/>
        <v>1.25</v>
      </c>
      <c r="N12">
        <v>0.29721125740976023</v>
      </c>
      <c r="Q12">
        <v>1.1250000000000002</v>
      </c>
      <c r="R12">
        <v>0.30348948353275096</v>
      </c>
      <c r="T12">
        <v>1.125</v>
      </c>
      <c r="U12">
        <v>0.18248120674309995</v>
      </c>
      <c r="W12" s="4">
        <v>0.39999999999999997</v>
      </c>
      <c r="X12">
        <f t="shared" si="0"/>
        <v>1.2499999999999998</v>
      </c>
      <c r="Y12">
        <v>0.18472006481307437</v>
      </c>
      <c r="AA12" s="4">
        <v>0.4</v>
      </c>
      <c r="AB12">
        <f t="shared" si="2"/>
        <v>1.25</v>
      </c>
      <c r="AC12">
        <v>0.18593373146756237</v>
      </c>
      <c r="AD12" s="4">
        <v>0.36</v>
      </c>
      <c r="AE12">
        <f t="shared" si="3"/>
        <v>1.125</v>
      </c>
      <c r="AF12">
        <v>0.17312098120397634</v>
      </c>
      <c r="AG12" s="4">
        <v>0.72</v>
      </c>
      <c r="AH12">
        <f t="shared" si="4"/>
        <v>2.25</v>
      </c>
      <c r="AI12">
        <v>0.16089935799328212</v>
      </c>
    </row>
    <row r="13" spans="1:38" ht="15" x14ac:dyDescent="0.35">
      <c r="A13">
        <v>1.25</v>
      </c>
      <c r="B13">
        <v>0.30650580221845397</v>
      </c>
      <c r="C13" s="5"/>
      <c r="D13">
        <v>1.25</v>
      </c>
      <c r="E13">
        <v>0.3060074849685524</v>
      </c>
      <c r="F13" s="4">
        <v>0.28199999999999997</v>
      </c>
      <c r="G13">
        <f t="shared" si="1"/>
        <v>1.25</v>
      </c>
      <c r="H13">
        <v>0.30163757109083411</v>
      </c>
      <c r="J13">
        <v>1.25</v>
      </c>
      <c r="K13">
        <v>0.28920319925482374</v>
      </c>
      <c r="L13" s="4">
        <v>0.31019999999999998</v>
      </c>
      <c r="M13">
        <f t="shared" si="5"/>
        <v>1.375</v>
      </c>
      <c r="N13">
        <v>0.29144419903625779</v>
      </c>
      <c r="Q13">
        <v>1.25</v>
      </c>
      <c r="R13">
        <v>0.30564409880461946</v>
      </c>
      <c r="T13">
        <v>1.2499999999999998</v>
      </c>
      <c r="U13">
        <v>0.17905366932751324</v>
      </c>
      <c r="W13" s="4">
        <v>0.43999999999999995</v>
      </c>
      <c r="X13">
        <f t="shared" si="0"/>
        <v>1.3749999999999998</v>
      </c>
      <c r="Y13">
        <v>0.18185723935160558</v>
      </c>
      <c r="AA13" s="4">
        <v>0.44</v>
      </c>
      <c r="AB13">
        <f t="shared" si="2"/>
        <v>1.375</v>
      </c>
      <c r="AC13">
        <v>0.18602082989806093</v>
      </c>
      <c r="AD13" s="4">
        <v>0.4</v>
      </c>
      <c r="AE13">
        <f t="shared" si="3"/>
        <v>1.25</v>
      </c>
      <c r="AF13">
        <v>0.17903439349757877</v>
      </c>
      <c r="AG13" s="4">
        <v>0.8</v>
      </c>
      <c r="AH13">
        <f t="shared" si="4"/>
        <v>2.5</v>
      </c>
      <c r="AI13">
        <v>0.16561766559299462</v>
      </c>
    </row>
    <row r="14" spans="1:38" ht="15" x14ac:dyDescent="0.35">
      <c r="A14">
        <v>1.375</v>
      </c>
      <c r="B14">
        <v>0.30409988655632181</v>
      </c>
      <c r="C14" s="5"/>
      <c r="D14">
        <v>1.375</v>
      </c>
      <c r="E14">
        <v>0.30596036614549582</v>
      </c>
      <c r="F14" s="4">
        <v>0.31019999999999998</v>
      </c>
      <c r="G14">
        <f t="shared" si="1"/>
        <v>1.375</v>
      </c>
      <c r="H14">
        <v>0.30558627124728893</v>
      </c>
      <c r="J14">
        <v>1.375</v>
      </c>
      <c r="K14">
        <v>0.29869550033604292</v>
      </c>
      <c r="L14" s="4">
        <v>0.33839999999999998</v>
      </c>
      <c r="M14">
        <f t="shared" si="5"/>
        <v>1.5</v>
      </c>
      <c r="N14">
        <v>0.28401941479703707</v>
      </c>
      <c r="Q14">
        <v>1.375</v>
      </c>
      <c r="R14">
        <v>0.30074659689440808</v>
      </c>
      <c r="T14">
        <v>1.3749999999999998</v>
      </c>
      <c r="U14">
        <v>0.17276544821597656</v>
      </c>
      <c r="W14" s="4">
        <v>0.47999999999999993</v>
      </c>
      <c r="X14">
        <f t="shared" si="0"/>
        <v>1.4999999999999998</v>
      </c>
      <c r="Y14">
        <v>0.17657707548302129</v>
      </c>
      <c r="AA14" s="4">
        <v>0.48</v>
      </c>
      <c r="AB14">
        <f t="shared" si="2"/>
        <v>1.5</v>
      </c>
      <c r="AC14">
        <v>0.18239053875801886</v>
      </c>
      <c r="AD14" s="4">
        <v>0.44</v>
      </c>
      <c r="AE14">
        <f t="shared" si="3"/>
        <v>1.375</v>
      </c>
      <c r="AF14">
        <v>0.18198074778173876</v>
      </c>
      <c r="AG14" s="4">
        <v>0.88</v>
      </c>
      <c r="AH14">
        <f t="shared" si="4"/>
        <v>2.75</v>
      </c>
      <c r="AI14">
        <v>0.17778931429438638</v>
      </c>
    </row>
    <row r="15" spans="1:38" ht="15" x14ac:dyDescent="0.35">
      <c r="A15">
        <v>1.5</v>
      </c>
      <c r="B15">
        <v>0.29685572447215136</v>
      </c>
      <c r="C15" s="5"/>
      <c r="D15">
        <v>1.5</v>
      </c>
      <c r="E15">
        <v>0.29959147189567964</v>
      </c>
      <c r="F15" s="4">
        <v>0.33839999999999998</v>
      </c>
      <c r="G15">
        <f t="shared" si="1"/>
        <v>1.5</v>
      </c>
      <c r="H15">
        <v>0.30292048813678407</v>
      </c>
      <c r="J15">
        <v>1.5</v>
      </c>
      <c r="K15">
        <v>0.30235791794635081</v>
      </c>
      <c r="L15" s="4">
        <v>0.36659999999999998</v>
      </c>
      <c r="M15">
        <f t="shared" si="5"/>
        <v>1.625</v>
      </c>
      <c r="N15">
        <v>0.27753129564645646</v>
      </c>
      <c r="Q15">
        <v>1.5</v>
      </c>
      <c r="R15">
        <v>0.29367377598705185</v>
      </c>
      <c r="T15">
        <v>1.4999999999999998</v>
      </c>
      <c r="U15">
        <v>0.16671781867058291</v>
      </c>
      <c r="W15" s="4">
        <v>0.51999999999999991</v>
      </c>
      <c r="X15">
        <f t="shared" si="0"/>
        <v>1.6249999999999998</v>
      </c>
      <c r="Y15">
        <v>0.17118553985084869</v>
      </c>
      <c r="AA15" s="4">
        <v>0.52</v>
      </c>
      <c r="AB15">
        <f t="shared" si="2"/>
        <v>1.625</v>
      </c>
      <c r="AC15">
        <v>0.17659492352205788</v>
      </c>
      <c r="AD15" s="4">
        <v>0.48</v>
      </c>
      <c r="AE15">
        <f t="shared" si="3"/>
        <v>1.5</v>
      </c>
      <c r="AF15">
        <v>0.1811811556328996</v>
      </c>
      <c r="AG15" s="4">
        <v>0.96</v>
      </c>
      <c r="AH15">
        <f t="shared" si="4"/>
        <v>3</v>
      </c>
      <c r="AI15">
        <v>0.19837809820543317</v>
      </c>
    </row>
    <row r="16" spans="1:38" ht="15" x14ac:dyDescent="0.35">
      <c r="A16">
        <v>1.625</v>
      </c>
      <c r="B16">
        <v>0.288140883971366</v>
      </c>
      <c r="C16" s="5"/>
      <c r="D16">
        <v>1.625</v>
      </c>
      <c r="E16">
        <v>0.28999493826648681</v>
      </c>
      <c r="F16" s="4">
        <v>0.36659999999999998</v>
      </c>
      <c r="G16">
        <f t="shared" si="1"/>
        <v>1.625</v>
      </c>
      <c r="H16">
        <v>0.29494312860899058</v>
      </c>
      <c r="J16">
        <v>1.625</v>
      </c>
      <c r="K16">
        <v>0.29993058463737482</v>
      </c>
      <c r="L16" s="4">
        <v>0.39479999999999998</v>
      </c>
      <c r="M16">
        <f t="shared" si="5"/>
        <v>1.75</v>
      </c>
      <c r="N16">
        <v>0.27297362039807327</v>
      </c>
      <c r="Q16">
        <v>1.625</v>
      </c>
      <c r="R16">
        <v>0.28700931821273357</v>
      </c>
      <c r="T16">
        <v>1.6249999999999998</v>
      </c>
      <c r="U16">
        <v>0.16243000577368358</v>
      </c>
      <c r="W16" s="4">
        <v>0.55999999999999994</v>
      </c>
      <c r="X16">
        <f t="shared" si="0"/>
        <v>1.7499999999999998</v>
      </c>
      <c r="Y16">
        <v>0.16727681930183586</v>
      </c>
      <c r="AA16" s="4">
        <v>0.56000000000000005</v>
      </c>
      <c r="AB16">
        <f t="shared" si="2"/>
        <v>1.7500000000000002</v>
      </c>
      <c r="AC16">
        <v>0.17066509103254177</v>
      </c>
      <c r="AD16" s="4">
        <v>0.52</v>
      </c>
      <c r="AE16">
        <f t="shared" si="3"/>
        <v>1.625</v>
      </c>
      <c r="AF16">
        <v>0.1774187890039868</v>
      </c>
      <c r="AG16" s="4">
        <v>1.04</v>
      </c>
      <c r="AH16">
        <f t="shared" si="4"/>
        <v>3.25</v>
      </c>
      <c r="AI16">
        <v>0.22703776536882522</v>
      </c>
    </row>
    <row r="17" spans="1:38" ht="15" x14ac:dyDescent="0.35">
      <c r="A17">
        <v>1.7411347517730495</v>
      </c>
      <c r="B17">
        <v>0.28191191834759671</v>
      </c>
      <c r="C17" s="5"/>
      <c r="D17">
        <v>1.75</v>
      </c>
      <c r="E17">
        <v>0.28075607933958729</v>
      </c>
      <c r="F17" s="4">
        <v>0.39479999999999998</v>
      </c>
      <c r="G17">
        <f t="shared" si="1"/>
        <v>1.75</v>
      </c>
      <c r="H17">
        <v>0.28453415224285228</v>
      </c>
      <c r="J17">
        <v>1.75</v>
      </c>
      <c r="K17">
        <v>0.29265643784762291</v>
      </c>
      <c r="L17" s="4">
        <v>0.42299999999999999</v>
      </c>
      <c r="M17">
        <f t="shared" si="5"/>
        <v>1.875</v>
      </c>
      <c r="N17">
        <v>0.27118024943567692</v>
      </c>
      <c r="Q17">
        <v>1.75</v>
      </c>
      <c r="R17">
        <v>0.28190692081444196</v>
      </c>
      <c r="T17">
        <v>1.7499999999999998</v>
      </c>
      <c r="U17">
        <v>0.15996911815203654</v>
      </c>
      <c r="W17" s="4">
        <v>0.6</v>
      </c>
      <c r="X17">
        <f t="shared" si="0"/>
        <v>1.875</v>
      </c>
      <c r="Y17">
        <v>0.165287119910037</v>
      </c>
      <c r="AA17" s="4">
        <v>0.6</v>
      </c>
      <c r="AB17">
        <f t="shared" si="2"/>
        <v>1.875</v>
      </c>
      <c r="AC17">
        <v>0.16625091401801276</v>
      </c>
      <c r="AD17" s="4">
        <v>0.56000000000000005</v>
      </c>
      <c r="AE17">
        <f t="shared" si="3"/>
        <v>1.7500000000000002</v>
      </c>
      <c r="AF17">
        <v>0.17213933905696399</v>
      </c>
      <c r="AG17" s="4">
        <v>1.08</v>
      </c>
      <c r="AH17">
        <f t="shared" si="4"/>
        <v>3.375</v>
      </c>
      <c r="AI17">
        <v>0.23964776190895559</v>
      </c>
    </row>
    <row r="18" spans="1:38" ht="15" x14ac:dyDescent="0.35">
      <c r="A18">
        <v>1.875</v>
      </c>
      <c r="B18">
        <v>0.27810743034655755</v>
      </c>
      <c r="C18" s="5"/>
      <c r="D18">
        <v>1.875</v>
      </c>
      <c r="E18">
        <v>0.27435577254106669</v>
      </c>
      <c r="F18" s="4">
        <v>0.42299999999999999</v>
      </c>
      <c r="G18">
        <f t="shared" si="1"/>
        <v>1.875</v>
      </c>
      <c r="H18">
        <v>0.27522175939512195</v>
      </c>
      <c r="J18">
        <v>1.875</v>
      </c>
      <c r="K18">
        <v>0.28329335656902865</v>
      </c>
      <c r="L18" s="4">
        <v>0.45119999999999999</v>
      </c>
      <c r="M18">
        <f t="shared" si="5"/>
        <v>2</v>
      </c>
      <c r="N18">
        <v>0.2721240537399317</v>
      </c>
      <c r="Q18">
        <v>1.875</v>
      </c>
      <c r="R18">
        <v>0.2799779047559301</v>
      </c>
      <c r="T18">
        <v>1.875</v>
      </c>
      <c r="U18">
        <v>0.15909242247481506</v>
      </c>
      <c r="W18" s="4">
        <v>0.68</v>
      </c>
      <c r="X18">
        <f t="shared" si="0"/>
        <v>2.125</v>
      </c>
      <c r="Y18">
        <v>0.16590608990382588</v>
      </c>
      <c r="AA18" s="4">
        <v>0.64</v>
      </c>
      <c r="AB18">
        <f t="shared" si="2"/>
        <v>2</v>
      </c>
      <c r="AC18">
        <v>0.16383143384621285</v>
      </c>
      <c r="AD18" s="4">
        <v>0.6</v>
      </c>
      <c r="AE18">
        <f t="shared" si="3"/>
        <v>1.875</v>
      </c>
      <c r="AF18">
        <v>0.16696983303040655</v>
      </c>
      <c r="AG18" s="4">
        <v>1.1200000000000001</v>
      </c>
      <c r="AH18">
        <f t="shared" si="4"/>
        <v>3.5000000000000004</v>
      </c>
      <c r="AI18">
        <v>0.2514410321827717</v>
      </c>
    </row>
    <row r="19" spans="1:38" ht="15" x14ac:dyDescent="0.35">
      <c r="A19">
        <v>2</v>
      </c>
      <c r="B19">
        <v>0.27715363114044222</v>
      </c>
      <c r="C19" s="5"/>
      <c r="D19">
        <v>2</v>
      </c>
      <c r="E19">
        <v>0.27232181001245709</v>
      </c>
      <c r="F19" s="4">
        <v>0.45119999999999999</v>
      </c>
      <c r="G19">
        <f t="shared" si="1"/>
        <v>2</v>
      </c>
      <c r="H19">
        <v>0.26971456846999226</v>
      </c>
      <c r="J19">
        <v>2</v>
      </c>
      <c r="K19">
        <v>0.27445429371654867</v>
      </c>
      <c r="L19" s="4">
        <v>0.47939999999999999</v>
      </c>
      <c r="M19">
        <f t="shared" si="5"/>
        <v>2.125</v>
      </c>
      <c r="N19">
        <v>0.2760941715432304</v>
      </c>
      <c r="Q19">
        <v>2</v>
      </c>
      <c r="R19">
        <v>0.28030059730161755</v>
      </c>
      <c r="T19">
        <v>2</v>
      </c>
      <c r="U19">
        <v>0.15970925070373962</v>
      </c>
      <c r="W19" s="4">
        <v>0.72000000000000008</v>
      </c>
      <c r="X19">
        <f t="shared" si="0"/>
        <v>2.25</v>
      </c>
      <c r="Y19">
        <v>0.16811781890123992</v>
      </c>
      <c r="AA19" s="4">
        <v>0.68</v>
      </c>
      <c r="AB19">
        <f t="shared" si="2"/>
        <v>2.125</v>
      </c>
      <c r="AC19">
        <v>0.16341022012494938</v>
      </c>
      <c r="AD19" s="4">
        <v>0.64</v>
      </c>
      <c r="AE19">
        <f t="shared" si="3"/>
        <v>2</v>
      </c>
      <c r="AF19">
        <v>0.16326315228328789</v>
      </c>
    </row>
    <row r="20" spans="1:38" ht="15" x14ac:dyDescent="0.35">
      <c r="A20">
        <v>2.125</v>
      </c>
      <c r="B20">
        <v>0.27951242797951781</v>
      </c>
      <c r="C20" s="5"/>
      <c r="D20">
        <v>2.125</v>
      </c>
      <c r="E20">
        <v>0.27370824568481922</v>
      </c>
      <c r="F20" s="4">
        <v>0.47939999999999999</v>
      </c>
      <c r="G20">
        <f t="shared" si="1"/>
        <v>2.125</v>
      </c>
      <c r="H20">
        <v>0.26911701612304728</v>
      </c>
      <c r="J20">
        <v>2.125</v>
      </c>
      <c r="K20">
        <v>0.26928121808218392</v>
      </c>
      <c r="L20" s="4">
        <v>0.50760000000000005</v>
      </c>
      <c r="M20">
        <f t="shared" si="5"/>
        <v>2.2500000000000004</v>
      </c>
      <c r="N20">
        <v>0.28220248442311235</v>
      </c>
      <c r="Q20">
        <v>2.125</v>
      </c>
      <c r="R20">
        <v>0.28226245375194708</v>
      </c>
      <c r="T20">
        <v>2.125</v>
      </c>
      <c r="U20">
        <v>0.16173607401614343</v>
      </c>
      <c r="W20" s="4">
        <v>0.76000000000000012</v>
      </c>
      <c r="X20">
        <f t="shared" si="0"/>
        <v>2.3750000000000004</v>
      </c>
      <c r="Y20">
        <v>0.17167885964981999</v>
      </c>
      <c r="AA20" s="4">
        <v>0.72</v>
      </c>
      <c r="AB20">
        <f t="shared" si="2"/>
        <v>2.25</v>
      </c>
      <c r="AC20">
        <v>0.16465886893594911</v>
      </c>
      <c r="AD20" s="4">
        <v>0.68</v>
      </c>
      <c r="AE20">
        <f t="shared" si="3"/>
        <v>2.125</v>
      </c>
      <c r="AF20">
        <v>0.16163826680939689</v>
      </c>
    </row>
    <row r="21" spans="1:38" ht="15" x14ac:dyDescent="0.35">
      <c r="A21">
        <v>2.2500000000000004</v>
      </c>
      <c r="B21">
        <v>0.28445633479265275</v>
      </c>
      <c r="C21" s="5"/>
      <c r="D21">
        <v>2.2500000000000004</v>
      </c>
      <c r="E21">
        <v>0.27824950073728877</v>
      </c>
      <c r="F21" s="4">
        <v>0.50760000000000005</v>
      </c>
      <c r="G21">
        <f t="shared" si="1"/>
        <v>2.2500000000000004</v>
      </c>
      <c r="H21">
        <v>0.2732277764739543</v>
      </c>
      <c r="J21">
        <v>2.2500000000000004</v>
      </c>
      <c r="K21">
        <v>0.26905133533939263</v>
      </c>
      <c r="L21" s="4">
        <v>0.53580000000000005</v>
      </c>
      <c r="M21">
        <f t="shared" si="5"/>
        <v>2.3750000000000004</v>
      </c>
      <c r="N21">
        <v>0.29081095061123963</v>
      </c>
      <c r="Q21">
        <v>2.2500000000000004</v>
      </c>
      <c r="R21">
        <v>0.28598626861545479</v>
      </c>
      <c r="T21">
        <v>2.25</v>
      </c>
      <c r="U21">
        <v>0.1652121580978955</v>
      </c>
      <c r="W21" s="4">
        <v>0.80000000000000016</v>
      </c>
      <c r="X21">
        <f t="shared" si="0"/>
        <v>2.5000000000000004</v>
      </c>
      <c r="Y21">
        <v>0.17686764155853696</v>
      </c>
      <c r="AA21" s="4">
        <v>0.76</v>
      </c>
      <c r="AB21">
        <f t="shared" si="2"/>
        <v>2.375</v>
      </c>
      <c r="AC21">
        <v>0.16754596773050762</v>
      </c>
      <c r="AD21" s="4">
        <v>0.72</v>
      </c>
      <c r="AE21">
        <f t="shared" si="3"/>
        <v>2.25</v>
      </c>
      <c r="AF21">
        <v>0.16214015366710577</v>
      </c>
    </row>
    <row r="22" spans="1:38" ht="15" x14ac:dyDescent="0.35">
      <c r="A22">
        <v>2.3750000000000004</v>
      </c>
      <c r="B22">
        <v>0.29123287825406458</v>
      </c>
      <c r="C22" s="5"/>
      <c r="D22">
        <v>2.5</v>
      </c>
      <c r="E22">
        <v>0.29760605603324952</v>
      </c>
      <c r="F22" s="4">
        <v>0.53580000000000005</v>
      </c>
      <c r="G22">
        <f t="shared" si="1"/>
        <v>2.3750000000000004</v>
      </c>
      <c r="H22">
        <v>0.28118657404114977</v>
      </c>
      <c r="J22">
        <v>2.3750000000000004</v>
      </c>
      <c r="K22">
        <v>0.27351691470634704</v>
      </c>
      <c r="L22" s="4">
        <v>0.56399999999999995</v>
      </c>
      <c r="M22">
        <f t="shared" si="5"/>
        <v>2.5</v>
      </c>
      <c r="N22">
        <v>0.30181248187339266</v>
      </c>
      <c r="Q22">
        <v>2.5</v>
      </c>
      <c r="R22">
        <v>0.30099646944084746</v>
      </c>
      <c r="T22">
        <v>2.3750000000000004</v>
      </c>
      <c r="U22">
        <v>0.17043520824003927</v>
      </c>
      <c r="W22" s="4">
        <v>0.84000000000000019</v>
      </c>
      <c r="X22">
        <f t="shared" si="0"/>
        <v>2.6250000000000004</v>
      </c>
      <c r="Y22">
        <v>0.18422531717098015</v>
      </c>
      <c r="AA22" s="4">
        <v>0.8</v>
      </c>
      <c r="AB22">
        <f t="shared" si="2"/>
        <v>2.5</v>
      </c>
      <c r="AC22">
        <v>0.17204795709709667</v>
      </c>
      <c r="AD22" s="4">
        <v>0.76</v>
      </c>
      <c r="AE22">
        <f t="shared" si="3"/>
        <v>2.375</v>
      </c>
      <c r="AF22">
        <v>0.16447110756528419</v>
      </c>
      <c r="AG22" s="4"/>
    </row>
    <row r="23" spans="1:38" ht="15" x14ac:dyDescent="0.35">
      <c r="A23">
        <v>2.5</v>
      </c>
      <c r="B23">
        <v>0.30117780560525159</v>
      </c>
      <c r="C23" s="5"/>
      <c r="D23">
        <v>2.625</v>
      </c>
      <c r="E23">
        <v>0.31258198862807007</v>
      </c>
      <c r="F23" s="4">
        <v>0.56399999999999995</v>
      </c>
      <c r="G23">
        <f t="shared" si="1"/>
        <v>2.5</v>
      </c>
      <c r="H23">
        <v>0.29271997686659312</v>
      </c>
      <c r="J23">
        <v>2.5</v>
      </c>
      <c r="K23">
        <v>0.28218463638407576</v>
      </c>
      <c r="L23" s="4">
        <v>0.59219999999999995</v>
      </c>
      <c r="M23">
        <f t="shared" si="5"/>
        <v>2.625</v>
      </c>
      <c r="N23">
        <v>0.31679769544851222</v>
      </c>
      <c r="Q23">
        <v>2.625</v>
      </c>
      <c r="R23">
        <v>0.3138434879356366</v>
      </c>
      <c r="T23">
        <v>2.5000000000000004</v>
      </c>
      <c r="U23">
        <v>0.17779502561502017</v>
      </c>
      <c r="W23" s="4">
        <v>0.88000000000000023</v>
      </c>
      <c r="X23">
        <f t="shared" si="0"/>
        <v>2.7500000000000004</v>
      </c>
      <c r="Y23">
        <v>0.19446580804861302</v>
      </c>
      <c r="AA23" s="4">
        <v>0.84</v>
      </c>
      <c r="AB23">
        <f t="shared" si="2"/>
        <v>2.625</v>
      </c>
      <c r="AC23">
        <v>0.17846753977777674</v>
      </c>
      <c r="AD23" s="4">
        <v>0.8</v>
      </c>
      <c r="AE23">
        <f t="shared" si="3"/>
        <v>2.5</v>
      </c>
      <c r="AF23">
        <v>0.1685411743871878</v>
      </c>
      <c r="AG23" s="4"/>
    </row>
    <row r="24" spans="1:38" ht="15" x14ac:dyDescent="0.35">
      <c r="A24">
        <v>2.625</v>
      </c>
      <c r="B24">
        <v>0.31416403880827326</v>
      </c>
      <c r="C24" s="5"/>
      <c r="D24">
        <v>2.75</v>
      </c>
      <c r="E24">
        <v>0.33145593294848147</v>
      </c>
      <c r="F24" s="4">
        <v>0.59219999999999995</v>
      </c>
      <c r="G24">
        <f t="shared" si="1"/>
        <v>2.625</v>
      </c>
      <c r="H24">
        <v>0.30788795436144734</v>
      </c>
      <c r="J24">
        <v>2.625</v>
      </c>
      <c r="K24">
        <v>0.29433558136018506</v>
      </c>
      <c r="L24" s="4">
        <v>0.62039999999999995</v>
      </c>
      <c r="M24">
        <f t="shared" si="5"/>
        <v>2.75</v>
      </c>
      <c r="N24">
        <v>0.33506195075543377</v>
      </c>
      <c r="Q24">
        <v>2.75</v>
      </c>
      <c r="R24">
        <v>0.33174435716255202</v>
      </c>
      <c r="T24">
        <v>2.6250000000000004</v>
      </c>
      <c r="U24">
        <v>0.1878834511971188</v>
      </c>
      <c r="W24" s="4">
        <v>0.92000000000000026</v>
      </c>
      <c r="X24">
        <f t="shared" si="0"/>
        <v>2.8750000000000009</v>
      </c>
      <c r="Y24">
        <v>0.20829089908635434</v>
      </c>
      <c r="AA24" s="4">
        <v>0.88</v>
      </c>
      <c r="AB24">
        <f t="shared" si="2"/>
        <v>2.75</v>
      </c>
      <c r="AC24">
        <v>0.18722378772912696</v>
      </c>
      <c r="AD24" s="4">
        <v>0.84</v>
      </c>
      <c r="AE24">
        <f t="shared" si="3"/>
        <v>2.625</v>
      </c>
      <c r="AF24">
        <v>0.17446315373952778</v>
      </c>
    </row>
    <row r="25" spans="1:38" ht="15" x14ac:dyDescent="0.35">
      <c r="A25">
        <v>2.75</v>
      </c>
      <c r="B25">
        <v>0.33119178197073995</v>
      </c>
      <c r="C25" s="5"/>
      <c r="D25">
        <v>2.875</v>
      </c>
      <c r="E25">
        <v>0.35476047447933556</v>
      </c>
      <c r="F25" s="4">
        <v>0.62039999999999995</v>
      </c>
      <c r="G25">
        <f t="shared" si="1"/>
        <v>2.75</v>
      </c>
      <c r="H25">
        <v>0.3268975437785368</v>
      </c>
      <c r="J25">
        <v>2.75</v>
      </c>
      <c r="K25">
        <v>0.31118198844604006</v>
      </c>
      <c r="L25" s="4">
        <v>0.64859999999999995</v>
      </c>
      <c r="M25">
        <f t="shared" si="5"/>
        <v>2.875</v>
      </c>
      <c r="N25">
        <v>0.35756904190213307</v>
      </c>
      <c r="Q25">
        <v>2.875</v>
      </c>
      <c r="R25">
        <v>0.35505246829441506</v>
      </c>
      <c r="T25">
        <v>2.7500000000000004</v>
      </c>
      <c r="U25">
        <v>0.20136157635205765</v>
      </c>
      <c r="W25" s="4">
        <v>0.9600000000000003</v>
      </c>
      <c r="X25">
        <f t="shared" si="0"/>
        <v>3.0000000000000009</v>
      </c>
      <c r="Y25">
        <v>0.22654444556985393</v>
      </c>
      <c r="AA25" s="4">
        <v>0.92</v>
      </c>
      <c r="AB25">
        <f t="shared" si="2"/>
        <v>2.875</v>
      </c>
      <c r="AC25">
        <v>0.19903490604197965</v>
      </c>
      <c r="AD25" s="4">
        <v>0.88</v>
      </c>
      <c r="AE25">
        <f t="shared" si="3"/>
        <v>2.75</v>
      </c>
      <c r="AF25">
        <v>0.18259614816772035</v>
      </c>
    </row>
    <row r="26" spans="1:38" ht="15" x14ac:dyDescent="0.35">
      <c r="A26">
        <v>2.875</v>
      </c>
      <c r="B26">
        <v>0.35305348802587622</v>
      </c>
      <c r="C26" s="5"/>
      <c r="D26">
        <v>3</v>
      </c>
      <c r="E26">
        <v>0.38257771420020059</v>
      </c>
      <c r="F26" s="4">
        <v>0.64859999999999995</v>
      </c>
      <c r="G26">
        <f>F26/0.2256</f>
        <v>2.875</v>
      </c>
      <c r="H26">
        <v>0.35003003021307816</v>
      </c>
      <c r="J26">
        <v>2.875</v>
      </c>
      <c r="K26">
        <v>0.33139739138044144</v>
      </c>
      <c r="L26" s="4">
        <v>0.67679999999999996</v>
      </c>
      <c r="M26">
        <f t="shared" si="5"/>
        <v>3</v>
      </c>
      <c r="N26">
        <v>0.38602524142050804</v>
      </c>
      <c r="Q26">
        <v>3</v>
      </c>
      <c r="R26">
        <v>0.38232569977749009</v>
      </c>
      <c r="T26">
        <v>2.8750000000000009</v>
      </c>
      <c r="U26">
        <v>0.21892618852362181</v>
      </c>
      <c r="W26" s="4">
        <v>1.0000000000000002</v>
      </c>
      <c r="X26">
        <f t="shared" si="0"/>
        <v>3.1250000000000004</v>
      </c>
      <c r="Y26">
        <v>0.24903797220688545</v>
      </c>
      <c r="AA26" s="4">
        <v>0.96</v>
      </c>
      <c r="AB26">
        <f t="shared" si="2"/>
        <v>3</v>
      </c>
      <c r="AC26">
        <v>0.21446346490676804</v>
      </c>
      <c r="AD26" s="4">
        <v>0.92</v>
      </c>
      <c r="AE26">
        <f t="shared" si="3"/>
        <v>2.875</v>
      </c>
      <c r="AF26">
        <v>0.19337422198113527</v>
      </c>
    </row>
    <row r="27" spans="1:38" ht="15" x14ac:dyDescent="0.35">
      <c r="A27">
        <v>3</v>
      </c>
      <c r="B27">
        <v>0.38042452677082655</v>
      </c>
      <c r="C27" s="4"/>
      <c r="D27">
        <v>3.125</v>
      </c>
      <c r="E27">
        <v>0.41445002839017853</v>
      </c>
      <c r="F27" s="4">
        <v>0.67679999999999996</v>
      </c>
      <c r="G27">
        <f t="shared" si="1"/>
        <v>3</v>
      </c>
      <c r="H27">
        <v>0.37691346053154895</v>
      </c>
      <c r="J27">
        <v>3</v>
      </c>
      <c r="K27">
        <v>0.35496751173215996</v>
      </c>
      <c r="L27" s="4">
        <v>0.70499999999999996</v>
      </c>
      <c r="M27">
        <f t="shared" si="5"/>
        <v>3.125</v>
      </c>
      <c r="N27">
        <v>0.42074681656228696</v>
      </c>
      <c r="Q27">
        <v>3.125</v>
      </c>
      <c r="R27">
        <v>0.41424870238902084</v>
      </c>
      <c r="T27">
        <v>3.0000000000000009</v>
      </c>
      <c r="U27">
        <v>0.24098922045265564</v>
      </c>
      <c r="W27" s="4">
        <v>1.0400000000000003</v>
      </c>
      <c r="X27">
        <f t="shared" si="0"/>
        <v>3.2500000000000009</v>
      </c>
      <c r="Y27">
        <v>0.27467917900840966</v>
      </c>
      <c r="AA27" s="4">
        <v>1</v>
      </c>
      <c r="AB27">
        <f t="shared" si="2"/>
        <v>3.125</v>
      </c>
      <c r="AC27">
        <v>0.23363440059674828</v>
      </c>
      <c r="AD27" s="4">
        <v>0.96</v>
      </c>
      <c r="AE27">
        <f t="shared" si="3"/>
        <v>3</v>
      </c>
      <c r="AF27">
        <v>0.20711221458837803</v>
      </c>
    </row>
    <row r="28" spans="1:38" ht="15" x14ac:dyDescent="0.35">
      <c r="A28">
        <v>3.125</v>
      </c>
      <c r="B28">
        <v>0.41269449527053975</v>
      </c>
      <c r="C28" s="4"/>
      <c r="D28">
        <v>3.25</v>
      </c>
      <c r="E28">
        <v>0.44901311294531254</v>
      </c>
      <c r="F28" s="4">
        <v>0.70499999999999996</v>
      </c>
      <c r="G28">
        <f t="shared" si="1"/>
        <v>3.125</v>
      </c>
      <c r="H28">
        <v>0.4064755245486309</v>
      </c>
      <c r="J28">
        <v>3.125</v>
      </c>
      <c r="K28">
        <v>0.38098281343189111</v>
      </c>
      <c r="L28" s="4">
        <v>0.73319999999999996</v>
      </c>
      <c r="M28">
        <f t="shared" si="5"/>
        <v>3.25</v>
      </c>
      <c r="N28">
        <v>0.45961556205460746</v>
      </c>
      <c r="Q28">
        <v>3.25</v>
      </c>
      <c r="R28">
        <v>0.44392427992571998</v>
      </c>
      <c r="T28">
        <v>3.1250000000000004</v>
      </c>
      <c r="U28">
        <v>0.26731293625926111</v>
      </c>
      <c r="W28" s="4">
        <v>1.0800000000000003</v>
      </c>
      <c r="X28">
        <f t="shared" si="0"/>
        <v>3.3750000000000009</v>
      </c>
      <c r="Y28">
        <v>0.30102288462641402</v>
      </c>
      <c r="AA28" s="4">
        <v>1.04</v>
      </c>
      <c r="AB28">
        <f t="shared" si="2"/>
        <v>3.25</v>
      </c>
      <c r="AC28">
        <v>0.25594302154936072</v>
      </c>
      <c r="AD28" s="4">
        <v>1</v>
      </c>
      <c r="AE28">
        <f t="shared" si="3"/>
        <v>3.125</v>
      </c>
      <c r="AF28">
        <v>0.22374016167642519</v>
      </c>
    </row>
    <row r="29" spans="1:38" ht="15" x14ac:dyDescent="0.35">
      <c r="A29">
        <v>3.25</v>
      </c>
      <c r="B29">
        <v>0.44843412255896564</v>
      </c>
      <c r="D29">
        <v>3.375</v>
      </c>
      <c r="E29">
        <v>0.48376253102798855</v>
      </c>
      <c r="F29" s="4">
        <v>0.73319999999999996</v>
      </c>
      <c r="G29">
        <f t="shared" si="1"/>
        <v>3.25</v>
      </c>
      <c r="H29">
        <v>0.43833855775830977</v>
      </c>
      <c r="J29">
        <v>3.25</v>
      </c>
      <c r="K29">
        <v>0.40760637630198915</v>
      </c>
      <c r="L29" s="4">
        <v>0.76139999999999997</v>
      </c>
      <c r="M29">
        <f t="shared" si="5"/>
        <v>3.375</v>
      </c>
      <c r="N29">
        <v>0.50264218672089156</v>
      </c>
      <c r="Q29">
        <v>3.375</v>
      </c>
      <c r="R29">
        <v>0.48996293964639054</v>
      </c>
      <c r="T29">
        <v>3.2500000000000009</v>
      </c>
      <c r="U29">
        <v>0.29645021693877371</v>
      </c>
      <c r="W29" s="4">
        <v>1.1200000000000003</v>
      </c>
      <c r="X29">
        <f t="shared" si="0"/>
        <v>3.5000000000000009</v>
      </c>
      <c r="Y29">
        <v>0.32504705909122333</v>
      </c>
      <c r="AA29" s="4">
        <v>1.08</v>
      </c>
      <c r="AB29">
        <f t="shared" si="2"/>
        <v>3.375</v>
      </c>
      <c r="AC29">
        <v>0.27964593131151144</v>
      </c>
      <c r="AD29" s="4">
        <v>1.04</v>
      </c>
      <c r="AE29">
        <f t="shared" si="3"/>
        <v>3.25</v>
      </c>
      <c r="AF29">
        <v>0.24256770109534145</v>
      </c>
    </row>
    <row r="30" spans="1:38" ht="15" x14ac:dyDescent="0.35">
      <c r="A30">
        <v>3.375</v>
      </c>
      <c r="B30">
        <v>0.48617344414105085</v>
      </c>
      <c r="D30">
        <v>3.5</v>
      </c>
      <c r="E30">
        <v>0.51544565600417858</v>
      </c>
      <c r="F30">
        <f>F29+0.0282</f>
        <v>0.76139999999999997</v>
      </c>
      <c r="G30">
        <f t="shared" si="1"/>
        <v>3.375</v>
      </c>
      <c r="H30">
        <v>0.46905860254808557</v>
      </c>
      <c r="J30">
        <v>3.375</v>
      </c>
      <c r="K30">
        <v>0.43426063779923013</v>
      </c>
      <c r="L30" s="4">
        <v>0.78959999999999997</v>
      </c>
      <c r="M30">
        <f t="shared" si="5"/>
        <v>3.5</v>
      </c>
      <c r="N30">
        <v>0.55476988345271294</v>
      </c>
      <c r="Q30">
        <v>3.5</v>
      </c>
      <c r="R30">
        <v>0.54235621518379451</v>
      </c>
      <c r="T30">
        <v>3.3750000000000009</v>
      </c>
      <c r="U30">
        <v>0.32526623291572138</v>
      </c>
      <c r="AA30" s="4">
        <v>1.1200000000000001</v>
      </c>
      <c r="AB30">
        <f t="shared" si="2"/>
        <v>3.5000000000000004</v>
      </c>
      <c r="AC30">
        <v>0.30221727539874249</v>
      </c>
      <c r="AD30" s="4">
        <v>1.08</v>
      </c>
      <c r="AE30">
        <f t="shared" si="3"/>
        <v>3.375</v>
      </c>
      <c r="AF30">
        <v>0.2621177291344588</v>
      </c>
    </row>
    <row r="31" spans="1:38" ht="15" x14ac:dyDescent="0.35">
      <c r="A31">
        <v>3.5</v>
      </c>
      <c r="B31">
        <v>0.5207258198727629</v>
      </c>
      <c r="F31">
        <f>F30+0.0282</f>
        <v>0.78959999999999997</v>
      </c>
      <c r="G31">
        <f t="shared" ref="G31" si="6">F31/0.2256</f>
        <v>3.5</v>
      </c>
      <c r="H31">
        <v>0.49655386364473059</v>
      </c>
      <c r="J31">
        <v>3.5</v>
      </c>
      <c r="K31">
        <v>0.45748736187988465</v>
      </c>
      <c r="T31">
        <v>3.5000000000000009</v>
      </c>
      <c r="U31">
        <v>0.34981799540729119</v>
      </c>
      <c r="AD31" s="4">
        <v>1.1200000000000001</v>
      </c>
      <c r="AE31">
        <f>AD31/0.32</f>
        <v>3.5000000000000004</v>
      </c>
      <c r="AF31">
        <v>0.28043838424473599</v>
      </c>
    </row>
    <row r="32" spans="1:38" ht="15" x14ac:dyDescent="0.35">
      <c r="E32" s="1" t="s">
        <v>3</v>
      </c>
      <c r="K32" s="1" t="s">
        <v>3</v>
      </c>
      <c r="T32" s="1" t="s">
        <v>3</v>
      </c>
      <c r="Z32" s="1" t="s">
        <v>3</v>
      </c>
      <c r="AH32" s="4"/>
      <c r="AL32" s="1" t="s">
        <v>3</v>
      </c>
    </row>
    <row r="33" spans="1:37" ht="15" x14ac:dyDescent="0.35">
      <c r="F33" s="6"/>
      <c r="AK33" s="4"/>
    </row>
    <row r="34" spans="1:37" ht="15" x14ac:dyDescent="0.35">
      <c r="A34" s="4" t="str">
        <f>"A"&amp;_xlfn.UNICHAR(8348)&amp;" = 0.4, n = 1.2, K"&amp;_xlfn.UNICHAR(8321)</f>
        <v>Aₜ = 0.4, n = 1.2, K₁</v>
      </c>
      <c r="C34" s="4" t="str">
        <f>"A"&amp;_xlfn.UNICHAR(8348)&amp;" = 0.4, n = 1.3, K"&amp;_xlfn.UNICHAR(8321)</f>
        <v>Aₜ = 0.4, n = 1.3, K₁</v>
      </c>
      <c r="F34" s="4" t="str">
        <f>"A"&amp;_xlfn.UNICHAR(8348)&amp;" = 0.4, n = 1.4, K"&amp;_xlfn.UNICHAR(8321)</f>
        <v>Aₜ = 0.4, n = 1.4, K₁</v>
      </c>
      <c r="I34" s="4" t="str">
        <f>"A"&amp;_xlfn.UNICHAR(8348)&amp;" = 0.4, n = 1.5, K"&amp;_xlfn.UNICHAR(8321)</f>
        <v>Aₜ = 0.4, n = 1.5, K₁</v>
      </c>
      <c r="L34" s="4" t="str">
        <f>"A"&amp;_xlfn.UNICHAR(8348)&amp;" = 0.4, n = 1, K"&amp;_xlfn.UNICHAR(8321)</f>
        <v>Aₜ = 0.4, n = 1, K₁</v>
      </c>
      <c r="O34" s="4" t="str">
        <f>"A"&amp;_xlfn.UNICHAR(8348)&amp;" = 0.2, n = 1.2, K"&amp;_xlfn.UNICHAR(8322)</f>
        <v>Aₜ = 0.2, n = 1.2, K₂</v>
      </c>
      <c r="R34" s="4" t="str">
        <f>"A"&amp;_xlfn.UNICHAR(8348)&amp;" = 0.4, n = 1.2, K"&amp;_xlfn.UNICHAR(8322)</f>
        <v>Aₜ = 0.4, n = 1.2, K₂</v>
      </c>
      <c r="S34" s="4"/>
      <c r="V34" s="4" t="str">
        <f>"A"&amp;_xlfn.UNICHAR(8348)&amp;" = 0.2, n = 1.2, K"&amp;_xlfn.UNICHAR(8321)</f>
        <v>Aₜ = 0.2, n = 1.2, K₁</v>
      </c>
      <c r="Z34" s="4" t="str">
        <f>"A"&amp;_xlfn.UNICHAR(8348)&amp;" = 0.2, n = 1.3, K"&amp;_xlfn.UNICHAR(8321)</f>
        <v>Aₜ = 0.2, n = 1.3, K₁</v>
      </c>
      <c r="AB34" s="4" t="str">
        <f>"A"&amp;_xlfn.UNICHAR(8348)&amp;" = 0.2, n = 1.4, K"&amp;_xlfn.UNICHAR(8321)</f>
        <v>Aₜ = 0.2, n = 1.4, K₁</v>
      </c>
      <c r="AE34" s="4" t="str">
        <f>"A"&amp;_xlfn.UNICHAR(8348)&amp;" = 0.2, n = 1.5, K"&amp;_xlfn.UNICHAR(8321)</f>
        <v>Aₜ = 0.2, n = 1.5, K₁</v>
      </c>
    </row>
    <row r="35" spans="1:37" x14ac:dyDescent="0.3">
      <c r="A35" t="s">
        <v>1</v>
      </c>
      <c r="B35" t="s">
        <v>4</v>
      </c>
      <c r="C35" t="s">
        <v>2</v>
      </c>
      <c r="D35" t="s">
        <v>4</v>
      </c>
      <c r="F35" t="s">
        <v>2</v>
      </c>
      <c r="G35" t="s">
        <v>4</v>
      </c>
      <c r="I35" t="s">
        <v>2</v>
      </c>
      <c r="J35" t="s">
        <v>4</v>
      </c>
      <c r="L35" t="s">
        <v>2</v>
      </c>
      <c r="M35" t="s">
        <v>4</v>
      </c>
      <c r="O35" t="s">
        <v>2</v>
      </c>
      <c r="P35" t="s">
        <v>4</v>
      </c>
      <c r="R35" t="s">
        <v>2</v>
      </c>
      <c r="S35" t="s">
        <v>4</v>
      </c>
      <c r="V35" t="s">
        <v>2</v>
      </c>
      <c r="W35" t="s">
        <v>4</v>
      </c>
      <c r="Y35" t="s">
        <v>2</v>
      </c>
      <c r="Z35" t="s">
        <v>4</v>
      </c>
      <c r="AA35" t="s">
        <v>0</v>
      </c>
      <c r="AB35" t="s">
        <v>2</v>
      </c>
      <c r="AC35" t="s">
        <v>4</v>
      </c>
      <c r="AD35" t="s">
        <v>0</v>
      </c>
      <c r="AE35" t="s">
        <v>2</v>
      </c>
      <c r="AF35" t="s">
        <v>4</v>
      </c>
    </row>
    <row r="36" spans="1:37" ht="15" x14ac:dyDescent="0.35">
      <c r="A36">
        <v>0</v>
      </c>
      <c r="B36">
        <v>0</v>
      </c>
      <c r="C36">
        <v>0</v>
      </c>
      <c r="D36">
        <v>0</v>
      </c>
      <c r="F36">
        <v>0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  <c r="P36">
        <v>0</v>
      </c>
      <c r="R36">
        <v>0</v>
      </c>
      <c r="S36">
        <v>0</v>
      </c>
      <c r="V36">
        <v>0</v>
      </c>
      <c r="W36">
        <v>0</v>
      </c>
      <c r="Y36">
        <v>0</v>
      </c>
      <c r="Z36">
        <v>0</v>
      </c>
      <c r="AA36" s="4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7" ht="15" x14ac:dyDescent="0.35">
      <c r="A37">
        <v>0.125</v>
      </c>
      <c r="B37">
        <v>3.1650927113768094E-2</v>
      </c>
      <c r="C37">
        <v>0.125</v>
      </c>
      <c r="D37">
        <v>3.2264899656626732E-2</v>
      </c>
      <c r="E37" s="4"/>
      <c r="F37">
        <v>0.125</v>
      </c>
      <c r="G37">
        <v>3.2342788498982401E-2</v>
      </c>
      <c r="I37">
        <v>0.125</v>
      </c>
      <c r="J37">
        <v>3.2300238773919174E-2</v>
      </c>
      <c r="K37" s="4"/>
      <c r="L37">
        <v>0.25</v>
      </c>
      <c r="M37">
        <v>7.6638765701548719E-2</v>
      </c>
      <c r="O37">
        <v>0.125</v>
      </c>
      <c r="P37">
        <v>2.5975893229538326E-2</v>
      </c>
      <c r="R37">
        <v>0.125</v>
      </c>
      <c r="S37">
        <v>3.5893191816296688E-2</v>
      </c>
      <c r="V37">
        <v>0.25</v>
      </c>
      <c r="W37">
        <v>4.600753275401899E-2</v>
      </c>
      <c r="Y37">
        <v>0.125</v>
      </c>
      <c r="Z37">
        <v>1.6556269363276189E-2</v>
      </c>
      <c r="AA37" s="4">
        <v>0.04</v>
      </c>
      <c r="AB37">
        <f>AA37/0.32</f>
        <v>0.125</v>
      </c>
      <c r="AC37">
        <v>2.0047203014520568E-2</v>
      </c>
      <c r="AD37" s="4">
        <v>0.08</v>
      </c>
      <c r="AE37">
        <f>AD37/0.32</f>
        <v>0.25</v>
      </c>
      <c r="AF37">
        <v>3.6078668637964918E-2</v>
      </c>
    </row>
    <row r="38" spans="1:37" ht="15" x14ac:dyDescent="0.35">
      <c r="A38">
        <v>0.25</v>
      </c>
      <c r="B38">
        <v>6.9791972358488857E-2</v>
      </c>
      <c r="C38">
        <v>0.25</v>
      </c>
      <c r="D38">
        <v>6.9393032989943038E-2</v>
      </c>
      <c r="E38" s="4"/>
      <c r="F38">
        <v>0.25</v>
      </c>
      <c r="G38">
        <v>6.8299876295030079E-2</v>
      </c>
      <c r="I38">
        <v>0.25</v>
      </c>
      <c r="J38">
        <v>6.6891594622887116E-2</v>
      </c>
      <c r="L38">
        <v>0.375</v>
      </c>
      <c r="M38">
        <v>0.11483571100453208</v>
      </c>
      <c r="O38">
        <v>0.25</v>
      </c>
      <c r="P38">
        <v>5.5577794069749935E-2</v>
      </c>
      <c r="R38">
        <v>0.25</v>
      </c>
      <c r="S38">
        <v>7.64452929583921E-2</v>
      </c>
      <c r="V38">
        <v>0.375</v>
      </c>
      <c r="W38">
        <v>7.286283456296809E-2</v>
      </c>
      <c r="Y38">
        <v>0.25</v>
      </c>
      <c r="Z38">
        <v>3.9283034174437834E-2</v>
      </c>
      <c r="AA38" s="4">
        <v>0.08</v>
      </c>
      <c r="AB38">
        <f t="shared" ref="AB38:AB64" si="7">AA38/0.32</f>
        <v>0.25</v>
      </c>
      <c r="AC38">
        <v>4.3450622681637345E-2</v>
      </c>
      <c r="AD38" s="4">
        <v>0.16</v>
      </c>
      <c r="AE38">
        <f t="shared" ref="AE38:AE51" si="8">AD38/0.32</f>
        <v>0.5</v>
      </c>
      <c r="AF38">
        <v>7.7943100394342588E-2</v>
      </c>
    </row>
    <row r="39" spans="1:37" ht="15" x14ac:dyDescent="0.35">
      <c r="A39">
        <v>0.375</v>
      </c>
      <c r="B39">
        <v>0.10751872892109234</v>
      </c>
      <c r="C39">
        <v>0.375</v>
      </c>
      <c r="D39">
        <v>0.10620368540487651</v>
      </c>
      <c r="E39" s="4"/>
      <c r="F39">
        <v>0.375</v>
      </c>
      <c r="G39">
        <v>0.10379848366430587</v>
      </c>
      <c r="I39">
        <v>0.375</v>
      </c>
      <c r="J39">
        <v>9.9000216849709471E-2</v>
      </c>
      <c r="L39">
        <v>0.5</v>
      </c>
      <c r="M39">
        <v>0.14658380284281536</v>
      </c>
      <c r="O39">
        <v>0.375</v>
      </c>
      <c r="P39">
        <v>8.3377471320202998E-2</v>
      </c>
      <c r="R39">
        <v>0.375</v>
      </c>
      <c r="S39">
        <v>0.11471862786845206</v>
      </c>
      <c r="V39">
        <v>0.5</v>
      </c>
      <c r="W39">
        <v>9.7597360981433623E-2</v>
      </c>
      <c r="Y39">
        <v>0.375</v>
      </c>
      <c r="Z39">
        <v>6.1368554639092937E-2</v>
      </c>
      <c r="AA39" s="4">
        <v>0.12</v>
      </c>
      <c r="AB39">
        <f t="shared" si="7"/>
        <v>0.375</v>
      </c>
      <c r="AC39">
        <v>7.0450850567563561E-2</v>
      </c>
      <c r="AD39" s="4">
        <v>0.24</v>
      </c>
      <c r="AE39">
        <f t="shared" si="8"/>
        <v>0.75</v>
      </c>
      <c r="AF39">
        <v>0.11500848002240624</v>
      </c>
    </row>
    <row r="40" spans="1:37" ht="15" x14ac:dyDescent="0.35">
      <c r="A40">
        <v>0.5</v>
      </c>
      <c r="B40">
        <v>0.14019991624020844</v>
      </c>
      <c r="C40">
        <v>0.5</v>
      </c>
      <c r="D40">
        <v>0.13861857998156674</v>
      </c>
      <c r="E40" s="4"/>
      <c r="F40">
        <v>0.5</v>
      </c>
      <c r="G40">
        <v>0.13547375550331989</v>
      </c>
      <c r="I40">
        <v>0.5</v>
      </c>
      <c r="J40">
        <v>0.12696595225535895</v>
      </c>
      <c r="K40" s="4"/>
      <c r="L40">
        <v>0.625</v>
      </c>
      <c r="M40">
        <v>0.16954708986728986</v>
      </c>
      <c r="O40">
        <v>0.5</v>
      </c>
      <c r="P40">
        <v>0.10755656676384992</v>
      </c>
      <c r="R40">
        <v>0.5</v>
      </c>
      <c r="S40">
        <v>0.14695932558414518</v>
      </c>
      <c r="V40">
        <v>0.625</v>
      </c>
      <c r="W40">
        <v>0.11846600214457415</v>
      </c>
      <c r="Y40">
        <v>0.5</v>
      </c>
      <c r="Z40">
        <v>8.4868139540538845E-2</v>
      </c>
      <c r="AA40" s="4">
        <v>0.16</v>
      </c>
      <c r="AB40">
        <f t="shared" si="7"/>
        <v>0.5</v>
      </c>
      <c r="AC40">
        <v>8.8486294014036029E-2</v>
      </c>
      <c r="AD40" s="4">
        <v>0.32</v>
      </c>
      <c r="AE40">
        <f t="shared" si="8"/>
        <v>1</v>
      </c>
      <c r="AF40">
        <v>0.13777401077435536</v>
      </c>
    </row>
    <row r="41" spans="1:37" ht="15" x14ac:dyDescent="0.35">
      <c r="A41">
        <v>0.625</v>
      </c>
      <c r="B41">
        <v>0.16564907814169899</v>
      </c>
      <c r="C41">
        <v>0.625</v>
      </c>
      <c r="D41">
        <v>0.16356514110378695</v>
      </c>
      <c r="E41" s="4"/>
      <c r="F41">
        <v>0.625</v>
      </c>
      <c r="G41">
        <v>0.15965070918228239</v>
      </c>
      <c r="I41">
        <v>0.625</v>
      </c>
      <c r="J41">
        <v>0.15015198280701009</v>
      </c>
      <c r="K41" s="4"/>
      <c r="L41">
        <v>0.75</v>
      </c>
      <c r="M41">
        <v>0.18315871835815356</v>
      </c>
      <c r="O41">
        <v>0.625</v>
      </c>
      <c r="P41">
        <v>0.12875208331356</v>
      </c>
      <c r="R41">
        <v>0.625</v>
      </c>
      <c r="S41">
        <v>0.17065366828755835</v>
      </c>
      <c r="V41">
        <v>0.75</v>
      </c>
      <c r="W41">
        <v>0.13316421925198535</v>
      </c>
      <c r="Y41">
        <v>0.75</v>
      </c>
      <c r="Z41">
        <v>0.12434086267385754</v>
      </c>
      <c r="AA41" s="4">
        <v>0.2</v>
      </c>
      <c r="AB41">
        <f t="shared" si="7"/>
        <v>0.625</v>
      </c>
      <c r="AC41">
        <v>0.10577818815424424</v>
      </c>
      <c r="AD41" s="4">
        <v>0.4</v>
      </c>
      <c r="AE41">
        <f t="shared" si="8"/>
        <v>1.25</v>
      </c>
      <c r="AF41">
        <v>0.14487396070311021</v>
      </c>
    </row>
    <row r="42" spans="1:37" ht="15" x14ac:dyDescent="0.35">
      <c r="A42">
        <v>0.75</v>
      </c>
      <c r="B42">
        <v>0.18203357797728706</v>
      </c>
      <c r="C42">
        <v>0.75</v>
      </c>
      <c r="D42">
        <v>0.1795484170218325</v>
      </c>
      <c r="E42" s="4"/>
      <c r="F42">
        <v>0.75</v>
      </c>
      <c r="G42">
        <v>0.17631292450527974</v>
      </c>
      <c r="I42">
        <v>0.75</v>
      </c>
      <c r="J42">
        <v>0.1666528518571167</v>
      </c>
      <c r="K42" s="4"/>
      <c r="L42">
        <v>0.875</v>
      </c>
      <c r="M42">
        <v>0.18867376242045936</v>
      </c>
      <c r="O42">
        <v>0.75</v>
      </c>
      <c r="P42">
        <v>0.14050859954068601</v>
      </c>
      <c r="R42">
        <v>0.75</v>
      </c>
      <c r="S42">
        <v>0.18513413931872316</v>
      </c>
      <c r="V42">
        <v>0.87500000000000011</v>
      </c>
      <c r="W42">
        <v>0.14251373602091175</v>
      </c>
      <c r="Y42">
        <v>0.87500000000000011</v>
      </c>
      <c r="Z42">
        <v>0.13708793215378892</v>
      </c>
      <c r="AA42" s="4">
        <v>0.24</v>
      </c>
      <c r="AB42">
        <f t="shared" si="7"/>
        <v>0.75</v>
      </c>
      <c r="AC42">
        <v>0.12064846035796817</v>
      </c>
      <c r="AD42" s="4">
        <v>0.48</v>
      </c>
      <c r="AE42">
        <f t="shared" si="8"/>
        <v>1.5</v>
      </c>
      <c r="AF42">
        <v>0.14201113524164144</v>
      </c>
    </row>
    <row r="43" spans="1:37" ht="15" x14ac:dyDescent="0.35">
      <c r="A43">
        <v>0.875</v>
      </c>
      <c r="B43">
        <v>0.19027366063969914</v>
      </c>
      <c r="C43">
        <v>0.875</v>
      </c>
      <c r="D43">
        <v>0.18819829066052465</v>
      </c>
      <c r="E43" s="4"/>
      <c r="F43">
        <v>0.875</v>
      </c>
      <c r="G43">
        <v>0.18598513381998771</v>
      </c>
      <c r="I43">
        <v>0.875</v>
      </c>
      <c r="J43">
        <v>0.17810915115392201</v>
      </c>
      <c r="K43" s="4"/>
      <c r="L43">
        <v>1</v>
      </c>
      <c r="M43">
        <v>0.18819043752334852</v>
      </c>
      <c r="O43">
        <v>0.87500000000000011</v>
      </c>
      <c r="P43">
        <v>0.142363210797081</v>
      </c>
      <c r="R43">
        <v>0.875</v>
      </c>
      <c r="S43">
        <v>0.19161726101837351</v>
      </c>
      <c r="V43">
        <v>1</v>
      </c>
      <c r="W43">
        <v>0.14656595480377876</v>
      </c>
      <c r="Y43">
        <v>1</v>
      </c>
      <c r="Z43">
        <v>0.14475402188078432</v>
      </c>
      <c r="AA43" s="4">
        <v>0.28000000000000003</v>
      </c>
      <c r="AB43">
        <f t="shared" si="7"/>
        <v>0.87500000000000011</v>
      </c>
      <c r="AC43">
        <v>0.13197910945995589</v>
      </c>
      <c r="AD43" s="4">
        <v>0.56000000000000005</v>
      </c>
      <c r="AE43">
        <f t="shared" si="8"/>
        <v>1.7500000000000002</v>
      </c>
      <c r="AF43">
        <v>0.13519389825122616</v>
      </c>
    </row>
    <row r="44" spans="1:37" ht="15" x14ac:dyDescent="0.35">
      <c r="A44">
        <v>1</v>
      </c>
      <c r="B44">
        <v>0.19183786278086573</v>
      </c>
      <c r="C44">
        <v>1</v>
      </c>
      <c r="D44">
        <v>0.19113750572907001</v>
      </c>
      <c r="E44" s="4"/>
      <c r="F44">
        <v>1</v>
      </c>
      <c r="G44">
        <v>0.18924918319899897</v>
      </c>
      <c r="I44">
        <v>1</v>
      </c>
      <c r="J44">
        <v>0.18447590363905381</v>
      </c>
      <c r="K44" s="4"/>
      <c r="L44">
        <v>1.1250000000000002</v>
      </c>
      <c r="M44">
        <v>0.18407539364307274</v>
      </c>
      <c r="O44">
        <v>1</v>
      </c>
      <c r="P44">
        <v>0.14463210797081899</v>
      </c>
      <c r="R44">
        <v>1</v>
      </c>
      <c r="S44">
        <v>0.19165724062581546</v>
      </c>
      <c r="V44">
        <v>1.125</v>
      </c>
      <c r="W44">
        <v>0.14684652597743394</v>
      </c>
      <c r="Y44">
        <v>1.125</v>
      </c>
      <c r="Z44">
        <v>0.14777176832109068</v>
      </c>
      <c r="AA44" s="4">
        <v>0.32</v>
      </c>
      <c r="AB44">
        <f t="shared" si="7"/>
        <v>1</v>
      </c>
      <c r="AC44">
        <v>0.13945458213004053</v>
      </c>
      <c r="AD44" s="4">
        <v>0.64</v>
      </c>
      <c r="AE44">
        <f t="shared" si="8"/>
        <v>2</v>
      </c>
      <c r="AF44">
        <v>0.13070761515898932</v>
      </c>
    </row>
    <row r="45" spans="1:37" ht="15" x14ac:dyDescent="0.35">
      <c r="A45">
        <v>1.1250000000000002</v>
      </c>
      <c r="B45">
        <v>0.18938697006036143</v>
      </c>
      <c r="C45">
        <v>1.1250000000000002</v>
      </c>
      <c r="D45">
        <v>0.18949048868677362</v>
      </c>
      <c r="E45" s="4"/>
      <c r="F45">
        <v>1.1250000000000002</v>
      </c>
      <c r="G45">
        <v>0.18856596026467837</v>
      </c>
      <c r="I45">
        <v>1.1250000000000002</v>
      </c>
      <c r="J45">
        <v>0.18649915734424147</v>
      </c>
      <c r="K45" s="4"/>
      <c r="L45">
        <v>1.25</v>
      </c>
      <c r="M45">
        <v>0.17939563780767931</v>
      </c>
      <c r="O45">
        <v>1.125</v>
      </c>
      <c r="P45">
        <v>0.1437366836556988</v>
      </c>
      <c r="R45">
        <v>1.1250000000000002</v>
      </c>
      <c r="S45">
        <v>0.18865091693049252</v>
      </c>
      <c r="V45">
        <v>1.2499999999999998</v>
      </c>
      <c r="W45">
        <v>0.14441633698221207</v>
      </c>
      <c r="Y45">
        <v>1.25</v>
      </c>
      <c r="Z45">
        <v>0.14724346636560767</v>
      </c>
      <c r="AA45" s="4">
        <v>0.36</v>
      </c>
      <c r="AB45">
        <f t="shared" si="7"/>
        <v>1.125</v>
      </c>
      <c r="AC45">
        <v>0.14316840209277382</v>
      </c>
      <c r="AD45" s="4">
        <v>0.72</v>
      </c>
      <c r="AE45">
        <f t="shared" si="8"/>
        <v>2.25</v>
      </c>
      <c r="AF45">
        <v>0.13014575889011751</v>
      </c>
    </row>
    <row r="46" spans="1:37" ht="15" x14ac:dyDescent="0.35">
      <c r="A46">
        <v>1.25</v>
      </c>
      <c r="B46">
        <v>0.18501134481015144</v>
      </c>
      <c r="C46">
        <v>1.25</v>
      </c>
      <c r="D46">
        <v>0.18535188539496955</v>
      </c>
      <c r="E46" s="4"/>
      <c r="F46">
        <v>1.25</v>
      </c>
      <c r="G46">
        <v>0.18530619441503587</v>
      </c>
      <c r="I46">
        <v>1.25</v>
      </c>
      <c r="J46">
        <v>0.1856310287255018</v>
      </c>
      <c r="K46" s="4"/>
      <c r="L46">
        <v>1.375</v>
      </c>
      <c r="M46">
        <v>0.1759109866661758</v>
      </c>
      <c r="O46">
        <v>1.2499999999999998</v>
      </c>
      <c r="P46">
        <v>0.13910333272180045</v>
      </c>
      <c r="R46">
        <v>1.25</v>
      </c>
      <c r="S46">
        <v>0.18433454716988401</v>
      </c>
      <c r="V46">
        <v>1.3749999999999998</v>
      </c>
      <c r="W46">
        <v>0.14057044153060802</v>
      </c>
      <c r="Y46">
        <v>1.375</v>
      </c>
      <c r="Z46">
        <v>0.1442885450227101</v>
      </c>
      <c r="AA46" s="4">
        <v>0.4</v>
      </c>
      <c r="AB46">
        <f t="shared" si="7"/>
        <v>1.25</v>
      </c>
      <c r="AC46">
        <v>0.14416146698476959</v>
      </c>
      <c r="AD46" s="4">
        <v>0.8</v>
      </c>
      <c r="AE46">
        <f t="shared" si="8"/>
        <v>2.5</v>
      </c>
      <c r="AF46">
        <v>0.1322154174968003</v>
      </c>
    </row>
    <row r="47" spans="1:37" ht="15" x14ac:dyDescent="0.35">
      <c r="A47">
        <v>1.375</v>
      </c>
      <c r="B47">
        <v>0.1807192483826327</v>
      </c>
      <c r="C47">
        <v>1.375</v>
      </c>
      <c r="D47">
        <v>0.18076922289193512</v>
      </c>
      <c r="E47" s="4"/>
      <c r="F47">
        <v>1.375</v>
      </c>
      <c r="G47">
        <v>0.18124897818123861</v>
      </c>
      <c r="I47">
        <v>1.375</v>
      </c>
      <c r="J47">
        <v>0.18297952404622622</v>
      </c>
      <c r="K47" s="4"/>
      <c r="L47">
        <v>1.5</v>
      </c>
      <c r="M47">
        <v>0.17380563198141985</v>
      </c>
      <c r="O47">
        <v>1.3749999999999998</v>
      </c>
      <c r="P47">
        <v>0.13461562178644071</v>
      </c>
      <c r="R47">
        <v>1.375</v>
      </c>
      <c r="S47">
        <v>0.18078921269565612</v>
      </c>
      <c r="V47">
        <v>1.4999999999999998</v>
      </c>
      <c r="W47">
        <v>0.13691444921435328</v>
      </c>
      <c r="Y47">
        <v>1.5</v>
      </c>
      <c r="Z47">
        <v>0.14025774388668699</v>
      </c>
      <c r="AA47" s="4">
        <v>0.44</v>
      </c>
      <c r="AB47">
        <f t="shared" si="7"/>
        <v>1.375</v>
      </c>
      <c r="AC47">
        <v>0.14294994209496598</v>
      </c>
      <c r="AD47" s="4">
        <v>0.88</v>
      </c>
      <c r="AE47">
        <f t="shared" si="8"/>
        <v>2.75</v>
      </c>
      <c r="AF47">
        <v>0.13715004332963623</v>
      </c>
    </row>
    <row r="48" spans="1:37" ht="15" x14ac:dyDescent="0.35">
      <c r="A48">
        <v>1.5</v>
      </c>
      <c r="B48">
        <v>0.17779645351000101</v>
      </c>
      <c r="C48">
        <v>1.5</v>
      </c>
      <c r="D48">
        <v>0.1769775854790023</v>
      </c>
      <c r="E48" s="4"/>
      <c r="F48">
        <v>1.5</v>
      </c>
      <c r="G48">
        <v>0.17732954880880383</v>
      </c>
      <c r="I48">
        <v>1.5</v>
      </c>
      <c r="J48">
        <v>0.17924785604445634</v>
      </c>
      <c r="K48" s="4"/>
      <c r="L48">
        <v>1.625</v>
      </c>
      <c r="M48">
        <v>0.17261052728752987</v>
      </c>
      <c r="O48">
        <v>1.4999999999999998</v>
      </c>
      <c r="P48">
        <v>0.1315914500520812</v>
      </c>
      <c r="R48">
        <v>1.5</v>
      </c>
      <c r="S48">
        <v>0.17862103291349138</v>
      </c>
      <c r="V48">
        <v>1.6249999999999998</v>
      </c>
      <c r="W48">
        <v>0.13441144021986212</v>
      </c>
      <c r="Y48">
        <v>1.625</v>
      </c>
      <c r="Z48">
        <v>0.13651108353212638</v>
      </c>
      <c r="AA48" s="4">
        <v>0.48</v>
      </c>
      <c r="AB48">
        <f t="shared" si="7"/>
        <v>1.5</v>
      </c>
      <c r="AC48">
        <v>0.14015850878964356</v>
      </c>
      <c r="AD48" s="4">
        <v>0.96</v>
      </c>
      <c r="AE48">
        <f t="shared" si="8"/>
        <v>3</v>
      </c>
      <c r="AF48">
        <v>0.14682439440902859</v>
      </c>
    </row>
    <row r="49" spans="1:32" ht="15" x14ac:dyDescent="0.35">
      <c r="A49">
        <v>1.625</v>
      </c>
      <c r="B49">
        <v>0.17609803411527924</v>
      </c>
      <c r="C49">
        <v>1.625</v>
      </c>
      <c r="D49">
        <v>0.17474086922693707</v>
      </c>
      <c r="E49" s="4"/>
      <c r="F49">
        <v>1.625</v>
      </c>
      <c r="G49">
        <v>0.17427253668261697</v>
      </c>
      <c r="I49">
        <v>1.625</v>
      </c>
      <c r="J49">
        <v>0.17616300097737242</v>
      </c>
      <c r="K49" s="4"/>
      <c r="L49">
        <v>1.75</v>
      </c>
      <c r="M49">
        <v>0.1718759020007839</v>
      </c>
      <c r="O49">
        <v>1.6249999999999998</v>
      </c>
      <c r="P49">
        <v>0.12986161810865504</v>
      </c>
      <c r="R49">
        <v>1.625</v>
      </c>
      <c r="S49">
        <v>0.1773595335143853</v>
      </c>
      <c r="V49">
        <v>1.7499999999999998</v>
      </c>
      <c r="W49">
        <v>0.13318706474195219</v>
      </c>
      <c r="Y49">
        <v>1.7500000000000002</v>
      </c>
      <c r="Z49">
        <v>0.13388670787218646</v>
      </c>
      <c r="AA49" s="4">
        <v>0.52</v>
      </c>
      <c r="AB49">
        <f t="shared" si="7"/>
        <v>1.625</v>
      </c>
      <c r="AC49">
        <v>0.13680593313701081</v>
      </c>
      <c r="AD49" s="4">
        <v>1.04</v>
      </c>
      <c r="AE49">
        <f t="shared" si="8"/>
        <v>3.25</v>
      </c>
      <c r="AF49">
        <v>0.16280338679770534</v>
      </c>
    </row>
    <row r="50" spans="1:32" ht="15" x14ac:dyDescent="0.35">
      <c r="A50">
        <v>1.7411347517730495</v>
      </c>
      <c r="B50">
        <v>0.1751299564779347</v>
      </c>
      <c r="C50">
        <v>1.75</v>
      </c>
      <c r="D50">
        <v>0.17345866610254856</v>
      </c>
      <c r="E50" s="4"/>
      <c r="F50">
        <v>1.75</v>
      </c>
      <c r="G50">
        <v>0.17256055277822743</v>
      </c>
      <c r="I50">
        <v>1.75</v>
      </c>
      <c r="J50">
        <v>0.17363072119886128</v>
      </c>
      <c r="K50" s="4"/>
      <c r="L50">
        <v>1.875</v>
      </c>
      <c r="M50">
        <v>0.1716802874929429</v>
      </c>
      <c r="O50">
        <v>1.7499999999999998</v>
      </c>
      <c r="P50">
        <v>0.1289463706668588</v>
      </c>
      <c r="R50">
        <v>1.75</v>
      </c>
      <c r="S50">
        <v>0.1765278148952803</v>
      </c>
      <c r="V50">
        <v>1.875</v>
      </c>
      <c r="W50">
        <v>0.13270445376640283</v>
      </c>
      <c r="Y50">
        <v>1.875</v>
      </c>
      <c r="Z50">
        <v>0.13245529514145205</v>
      </c>
      <c r="AA50" s="4">
        <v>0.56000000000000005</v>
      </c>
      <c r="AB50">
        <f t="shared" si="7"/>
        <v>1.7500000000000002</v>
      </c>
      <c r="AC50">
        <v>0.13385315355879765</v>
      </c>
      <c r="AD50" s="4">
        <v>1.08</v>
      </c>
      <c r="AE50">
        <f t="shared" si="8"/>
        <v>3.375</v>
      </c>
      <c r="AF50">
        <v>0.17107702377350623</v>
      </c>
    </row>
    <row r="51" spans="1:32" ht="15" x14ac:dyDescent="0.35">
      <c r="A51">
        <v>1.875</v>
      </c>
      <c r="B51">
        <v>0.17454311295441166</v>
      </c>
      <c r="C51">
        <v>1.875</v>
      </c>
      <c r="D51">
        <v>0.17270690669832744</v>
      </c>
      <c r="E51" s="4"/>
      <c r="F51">
        <v>1.875</v>
      </c>
      <c r="G51">
        <v>0.17169670768885656</v>
      </c>
      <c r="I51">
        <v>1.875</v>
      </c>
      <c r="J51">
        <v>0.17191588160822585</v>
      </c>
      <c r="K51" s="4"/>
      <c r="L51">
        <v>2</v>
      </c>
      <c r="M51">
        <v>0.17186376533423903</v>
      </c>
      <c r="O51">
        <v>1.875</v>
      </c>
      <c r="P51">
        <v>0.12852015949466508</v>
      </c>
      <c r="R51">
        <v>1.875</v>
      </c>
      <c r="S51">
        <v>0.17577819725574356</v>
      </c>
      <c r="V51">
        <v>2.125</v>
      </c>
      <c r="W51">
        <v>0.13294932886198482</v>
      </c>
      <c r="Y51">
        <v>2</v>
      </c>
      <c r="Z51">
        <v>0.13182775808892561</v>
      </c>
      <c r="AA51" s="4">
        <v>0.6</v>
      </c>
      <c r="AB51">
        <f t="shared" si="7"/>
        <v>1.875</v>
      </c>
      <c r="AC51">
        <v>0.13183918083390903</v>
      </c>
      <c r="AD51" s="4">
        <v>1.1200000000000001</v>
      </c>
      <c r="AE51">
        <f t="shared" si="8"/>
        <v>3.5000000000000004</v>
      </c>
      <c r="AF51">
        <v>0.17866957957967089</v>
      </c>
    </row>
    <row r="52" spans="1:32" ht="15" x14ac:dyDescent="0.35">
      <c r="A52">
        <v>2</v>
      </c>
      <c r="B52">
        <v>0.17413474982125451</v>
      </c>
      <c r="C52">
        <v>2</v>
      </c>
      <c r="D52">
        <v>0.17226927278115031</v>
      </c>
      <c r="E52" s="4"/>
      <c r="F52">
        <v>2</v>
      </c>
      <c r="G52">
        <v>0.17130333690849014</v>
      </c>
      <c r="I52">
        <v>2</v>
      </c>
      <c r="J52">
        <v>0.17123337259546673</v>
      </c>
      <c r="K52" s="4"/>
      <c r="L52">
        <v>2.125</v>
      </c>
      <c r="M52">
        <v>0.17246274552430693</v>
      </c>
      <c r="O52">
        <v>2</v>
      </c>
      <c r="P52">
        <v>0.12849445831845238</v>
      </c>
      <c r="R52">
        <v>2</v>
      </c>
      <c r="S52">
        <v>0.1750592782433498</v>
      </c>
      <c r="V52">
        <v>2.25</v>
      </c>
      <c r="W52">
        <v>0.13362398473756787</v>
      </c>
      <c r="Y52">
        <v>2.125</v>
      </c>
      <c r="Z52">
        <v>0.13178206710899196</v>
      </c>
      <c r="AA52" s="4">
        <v>0.64</v>
      </c>
      <c r="AB52">
        <f t="shared" si="7"/>
        <v>2</v>
      </c>
      <c r="AC52">
        <v>0.13084682986347471</v>
      </c>
      <c r="AD52" s="4"/>
    </row>
    <row r="53" spans="1:32" ht="15" x14ac:dyDescent="0.35">
      <c r="A53">
        <v>2.125</v>
      </c>
      <c r="B53">
        <v>0.17378992570706764</v>
      </c>
      <c r="C53">
        <v>2.125</v>
      </c>
      <c r="D53">
        <v>0.17211506572387419</v>
      </c>
      <c r="E53" s="4"/>
      <c r="F53">
        <v>2.125</v>
      </c>
      <c r="G53">
        <v>0.1711869676939716</v>
      </c>
      <c r="I53">
        <v>2.125</v>
      </c>
      <c r="J53">
        <v>0.17100420377423695</v>
      </c>
      <c r="K53" s="4"/>
      <c r="L53">
        <v>2.2500000000000004</v>
      </c>
      <c r="M53">
        <v>0.17363714649291442</v>
      </c>
      <c r="O53">
        <v>2.125</v>
      </c>
      <c r="P53">
        <v>0.12898706419586223</v>
      </c>
      <c r="R53">
        <v>2.125</v>
      </c>
      <c r="S53">
        <v>0.17424397982015846</v>
      </c>
      <c r="V53">
        <v>2.3750000000000004</v>
      </c>
      <c r="W53">
        <v>0.13496115982218904</v>
      </c>
      <c r="Y53">
        <v>2.25</v>
      </c>
      <c r="Z53">
        <v>0.13213688612503932</v>
      </c>
      <c r="AA53" s="4">
        <v>0.68</v>
      </c>
      <c r="AB53">
        <f t="shared" si="7"/>
        <v>2.125</v>
      </c>
      <c r="AC53">
        <v>0.13062836986566687</v>
      </c>
      <c r="AD53" s="4"/>
    </row>
    <row r="54" spans="1:32" ht="15" x14ac:dyDescent="0.35">
      <c r="A54">
        <v>2.2500000000000004</v>
      </c>
      <c r="B54">
        <v>0.1739220011959384</v>
      </c>
      <c r="C54">
        <v>2.2500000000000004</v>
      </c>
      <c r="D54">
        <v>0.17239349513284496</v>
      </c>
      <c r="E54" s="4"/>
      <c r="F54">
        <v>2.2500000000000004</v>
      </c>
      <c r="G54">
        <v>0.1714082833780253</v>
      </c>
      <c r="I54">
        <v>2.2500000000000004</v>
      </c>
      <c r="J54">
        <v>0.17113842102779209</v>
      </c>
      <c r="K54" s="4"/>
      <c r="L54">
        <v>2.3750000000000004</v>
      </c>
      <c r="M54">
        <v>0.17686264410760669</v>
      </c>
      <c r="O54">
        <v>2.25</v>
      </c>
      <c r="P54">
        <v>0.13032066967267611</v>
      </c>
      <c r="R54">
        <v>2.2500000000000004</v>
      </c>
      <c r="S54">
        <v>0.17399267943052327</v>
      </c>
      <c r="V54">
        <v>2.5000000000000004</v>
      </c>
      <c r="W54">
        <v>0.13739706018990261</v>
      </c>
      <c r="Y54">
        <v>2.375</v>
      </c>
      <c r="Z54">
        <v>0.13307497905680241</v>
      </c>
      <c r="AA54" s="4">
        <v>0.72</v>
      </c>
      <c r="AB54">
        <f t="shared" si="7"/>
        <v>2.25</v>
      </c>
      <c r="AC54">
        <v>0.13102959378320939</v>
      </c>
    </row>
    <row r="55" spans="1:32" ht="15" x14ac:dyDescent="0.35">
      <c r="A55">
        <v>2.3750000000000004</v>
      </c>
      <c r="B55">
        <v>0.17480726393215318</v>
      </c>
      <c r="C55">
        <v>2.5</v>
      </c>
      <c r="D55">
        <v>0.17511567804670541</v>
      </c>
      <c r="E55" s="4"/>
      <c r="F55">
        <v>2.3750000000000004</v>
      </c>
      <c r="G55">
        <v>0.17199512690154831</v>
      </c>
      <c r="I55">
        <v>2.3750000000000004</v>
      </c>
      <c r="J55">
        <v>0.17163459651300925</v>
      </c>
      <c r="K55" s="4"/>
      <c r="L55">
        <v>2.5</v>
      </c>
      <c r="M55">
        <v>0.17974331760811205</v>
      </c>
      <c r="O55">
        <v>2.3750000000000004</v>
      </c>
      <c r="P55">
        <v>0.13289864043112093</v>
      </c>
      <c r="R55">
        <v>2.4193262411347516</v>
      </c>
      <c r="S55">
        <v>0.17434107315251748</v>
      </c>
      <c r="V55">
        <v>2.6250000000000004</v>
      </c>
      <c r="W55">
        <v>0.14166988073526188</v>
      </c>
      <c r="Y55">
        <v>2.5</v>
      </c>
      <c r="Z55">
        <v>0.13485549943109246</v>
      </c>
      <c r="AA55" s="4">
        <v>0.76</v>
      </c>
      <c r="AB55">
        <f t="shared" si="7"/>
        <v>2.375</v>
      </c>
      <c r="AC55">
        <v>0.13192627926440759</v>
      </c>
    </row>
    <row r="56" spans="1:32" ht="15" x14ac:dyDescent="0.35">
      <c r="A56">
        <v>2.5</v>
      </c>
      <c r="B56">
        <v>0.17726101233890335</v>
      </c>
      <c r="C56">
        <v>2.625</v>
      </c>
      <c r="D56">
        <v>0.17801562742937027</v>
      </c>
      <c r="E56" s="4"/>
      <c r="F56">
        <v>2.5</v>
      </c>
      <c r="G56">
        <v>0.17388987472567255</v>
      </c>
      <c r="I56">
        <v>2.5</v>
      </c>
      <c r="J56">
        <v>0.17267763591430746</v>
      </c>
      <c r="K56" s="4"/>
      <c r="L56">
        <v>2.625</v>
      </c>
      <c r="M56">
        <v>0.17915219055522025</v>
      </c>
      <c r="O56">
        <v>2.5000000000000004</v>
      </c>
      <c r="P56">
        <v>0.1372721239166465</v>
      </c>
      <c r="R56">
        <v>2.5</v>
      </c>
      <c r="S56">
        <v>0.17580175666727188</v>
      </c>
      <c r="V56">
        <v>2.7500000000000004</v>
      </c>
      <c r="W56">
        <v>0.14891618458411671</v>
      </c>
      <c r="Y56">
        <v>2.625</v>
      </c>
      <c r="Z56">
        <v>0.13792464822382416</v>
      </c>
      <c r="AA56" s="4">
        <v>0.8</v>
      </c>
      <c r="AB56">
        <f t="shared" si="7"/>
        <v>2.5</v>
      </c>
      <c r="AC56">
        <v>0.13347191944497613</v>
      </c>
    </row>
    <row r="57" spans="1:32" ht="15" x14ac:dyDescent="0.35">
      <c r="A57">
        <v>2.625</v>
      </c>
      <c r="B57">
        <v>0.17985111976389301</v>
      </c>
      <c r="C57">
        <v>2.75</v>
      </c>
      <c r="D57">
        <v>0.1829859493402794</v>
      </c>
      <c r="E57" s="4"/>
      <c r="F57">
        <v>2.625</v>
      </c>
      <c r="G57">
        <v>0.17695973743996574</v>
      </c>
      <c r="I57">
        <v>2.625</v>
      </c>
      <c r="J57">
        <v>0.17455881922876387</v>
      </c>
      <c r="K57" s="4"/>
      <c r="L57">
        <v>2.75</v>
      </c>
      <c r="M57">
        <v>0.18877156967437989</v>
      </c>
      <c r="O57">
        <v>2.6250000000000004</v>
      </c>
      <c r="P57">
        <v>0.14433709168888961</v>
      </c>
      <c r="R57">
        <v>2.625</v>
      </c>
      <c r="S57">
        <v>0.17817269017289228</v>
      </c>
      <c r="V57">
        <v>2.8750000000000009</v>
      </c>
      <c r="W57">
        <v>0.16047600250733424</v>
      </c>
      <c r="Y57">
        <v>2.75</v>
      </c>
      <c r="Z57">
        <v>0.14295279778121184</v>
      </c>
      <c r="AA57" s="4">
        <v>0.84</v>
      </c>
      <c r="AB57">
        <f t="shared" si="7"/>
        <v>2.625</v>
      </c>
      <c r="AC57">
        <v>0.13595422471418481</v>
      </c>
    </row>
    <row r="58" spans="1:32" ht="15" x14ac:dyDescent="0.35">
      <c r="A58">
        <v>2.75</v>
      </c>
      <c r="B58">
        <v>0.18381695403782297</v>
      </c>
      <c r="C58">
        <v>2.875</v>
      </c>
      <c r="D58">
        <v>0.19429232510917735</v>
      </c>
      <c r="E58" s="4"/>
      <c r="F58">
        <v>2.75</v>
      </c>
      <c r="G58">
        <v>0.18244122718888273</v>
      </c>
      <c r="I58">
        <v>2.75</v>
      </c>
      <c r="J58">
        <v>0.17771292468730976</v>
      </c>
      <c r="K58" s="4"/>
      <c r="L58">
        <v>2.875</v>
      </c>
      <c r="M58">
        <v>0.22199390953708534</v>
      </c>
      <c r="O58">
        <v>2.7500000000000004</v>
      </c>
      <c r="P58">
        <v>0.1554314327540329</v>
      </c>
      <c r="R58">
        <v>2.75</v>
      </c>
      <c r="S58">
        <v>0.18535545500277689</v>
      </c>
      <c r="V58">
        <v>3.0000000000000009</v>
      </c>
      <c r="W58">
        <v>0.17749375076794044</v>
      </c>
      <c r="Y58">
        <v>2.875</v>
      </c>
      <c r="Z58">
        <v>0.15096014201458682</v>
      </c>
      <c r="AA58" s="4">
        <v>0.88</v>
      </c>
      <c r="AB58">
        <f t="shared" si="7"/>
        <v>2.75</v>
      </c>
      <c r="AC58">
        <v>0.13983867193010791</v>
      </c>
    </row>
    <row r="59" spans="1:32" ht="15" x14ac:dyDescent="0.35">
      <c r="A59">
        <v>2.875</v>
      </c>
      <c r="B59">
        <v>0.19277738355575175</v>
      </c>
      <c r="C59">
        <v>3</v>
      </c>
      <c r="D59">
        <v>0.22090732092053783</v>
      </c>
      <c r="E59" s="4"/>
      <c r="F59">
        <v>2.875</v>
      </c>
      <c r="G59">
        <v>0.19078625632082996</v>
      </c>
      <c r="I59">
        <v>2.875</v>
      </c>
      <c r="J59">
        <v>0.18249905483536127</v>
      </c>
      <c r="K59" s="4"/>
      <c r="L59">
        <v>3</v>
      </c>
      <c r="M59">
        <v>0.24350864971335034</v>
      </c>
      <c r="O59">
        <v>2.8750000000000009</v>
      </c>
      <c r="P59">
        <v>0.17250201121018743</v>
      </c>
      <c r="R59">
        <v>2.875</v>
      </c>
      <c r="S59">
        <v>0.19422093295303103</v>
      </c>
      <c r="V59">
        <v>3.1250000000000004</v>
      </c>
      <c r="W59">
        <v>0.20083184661218331</v>
      </c>
      <c r="Y59">
        <v>3</v>
      </c>
      <c r="Z59">
        <v>0.16299614561930048</v>
      </c>
      <c r="AA59" s="4">
        <v>0.92</v>
      </c>
      <c r="AB59">
        <f t="shared" si="7"/>
        <v>2.875</v>
      </c>
      <c r="AC59">
        <v>0.14572709696905911</v>
      </c>
    </row>
    <row r="60" spans="1:32" ht="15" x14ac:dyDescent="0.35">
      <c r="A60">
        <v>3</v>
      </c>
      <c r="B60">
        <v>0.21147070572111284</v>
      </c>
      <c r="C60">
        <v>3.125</v>
      </c>
      <c r="D60">
        <v>0.2607848375792064</v>
      </c>
      <c r="E60" s="4"/>
      <c r="F60">
        <v>3</v>
      </c>
      <c r="G60">
        <v>0.20323062305870077</v>
      </c>
      <c r="I60">
        <v>3</v>
      </c>
      <c r="J60">
        <v>0.18954831633325217</v>
      </c>
      <c r="K60" s="4"/>
      <c r="L60">
        <v>3.125</v>
      </c>
      <c r="M60">
        <v>0.26283022285279933</v>
      </c>
      <c r="O60">
        <v>3.0000000000000009</v>
      </c>
      <c r="P60">
        <v>0.19738217762719151</v>
      </c>
      <c r="R60">
        <v>3</v>
      </c>
      <c r="S60">
        <v>0.20259166326119091</v>
      </c>
      <c r="V60">
        <v>3.2500000000000009</v>
      </c>
      <c r="W60">
        <v>0.23068019317541213</v>
      </c>
      <c r="Y60">
        <v>3.125</v>
      </c>
      <c r="Z60">
        <v>0.17986539819512229</v>
      </c>
      <c r="AA60" s="4">
        <v>0.96</v>
      </c>
      <c r="AB60">
        <f t="shared" si="7"/>
        <v>3</v>
      </c>
      <c r="AC60">
        <v>0.1542627431579171</v>
      </c>
    </row>
    <row r="61" spans="1:32" ht="15" x14ac:dyDescent="0.35">
      <c r="A61">
        <v>3.125</v>
      </c>
      <c r="B61">
        <v>0.23450181529392641</v>
      </c>
      <c r="C61">
        <v>3.25</v>
      </c>
      <c r="D61">
        <v>0.29382941097310744</v>
      </c>
      <c r="E61" s="4"/>
      <c r="F61">
        <v>3.125</v>
      </c>
      <c r="G61">
        <v>0.22189324659691897</v>
      </c>
      <c r="I61">
        <v>3.125</v>
      </c>
      <c r="J61">
        <v>0.19941257054799383</v>
      </c>
      <c r="K61" s="4"/>
      <c r="L61">
        <v>3.25</v>
      </c>
      <c r="M61">
        <v>0.28976434160213405</v>
      </c>
      <c r="O61">
        <v>3.1250000000000004</v>
      </c>
      <c r="P61">
        <v>0.22686856595875834</v>
      </c>
      <c r="R61">
        <v>3.125</v>
      </c>
      <c r="S61">
        <v>0.21201114434314075</v>
      </c>
      <c r="V61">
        <v>3.3750000000000009</v>
      </c>
      <c r="W61">
        <v>0.2568432766383662</v>
      </c>
      <c r="Y61">
        <v>3.25</v>
      </c>
      <c r="Z61">
        <v>0.2017956407201591</v>
      </c>
      <c r="AA61" s="4">
        <v>1</v>
      </c>
      <c r="AB61">
        <f t="shared" si="7"/>
        <v>3.125</v>
      </c>
      <c r="AC61">
        <v>0.16608956774512199</v>
      </c>
    </row>
    <row r="62" spans="1:32" ht="15" x14ac:dyDescent="0.35">
      <c r="A62">
        <v>3.25</v>
      </c>
      <c r="B62">
        <v>0.24046805778307714</v>
      </c>
      <c r="C62">
        <v>3.375</v>
      </c>
      <c r="D62">
        <v>0.3062944814362607</v>
      </c>
      <c r="E62" s="4"/>
      <c r="F62">
        <v>3.25</v>
      </c>
      <c r="G62">
        <v>0.24795709496282961</v>
      </c>
      <c r="I62">
        <v>3.25</v>
      </c>
      <c r="J62">
        <v>0.21049049141722345</v>
      </c>
      <c r="K62" s="4"/>
      <c r="L62">
        <v>3.375</v>
      </c>
      <c r="M62">
        <v>0.28510457557046159</v>
      </c>
      <c r="O62">
        <v>3.2500000000000009</v>
      </c>
      <c r="P62">
        <v>0.24218860874620426</v>
      </c>
      <c r="R62">
        <v>3.25</v>
      </c>
      <c r="S62">
        <v>0.22247437874795029</v>
      </c>
      <c r="V62">
        <v>3.5000000000000009</v>
      </c>
      <c r="W62">
        <v>0.26493843322380117</v>
      </c>
      <c r="Y62">
        <v>3.375</v>
      </c>
      <c r="Z62">
        <v>0.22652588360925585</v>
      </c>
      <c r="AA62" s="4">
        <v>1.04</v>
      </c>
      <c r="AB62">
        <f t="shared" si="7"/>
        <v>3.25</v>
      </c>
      <c r="AC62">
        <v>0.18102052328157031</v>
      </c>
    </row>
    <row r="63" spans="1:32" ht="15" x14ac:dyDescent="0.35">
      <c r="A63">
        <v>3.375</v>
      </c>
      <c r="B63">
        <v>0.23552058136213488</v>
      </c>
      <c r="C63">
        <v>3.5</v>
      </c>
      <c r="D63">
        <v>0.29846704543637453</v>
      </c>
      <c r="F63">
        <v>3.375</v>
      </c>
      <c r="G63">
        <v>0.2772428713356252</v>
      </c>
      <c r="I63">
        <v>3.375</v>
      </c>
      <c r="J63">
        <v>0.21854781015990085</v>
      </c>
      <c r="K63" s="4"/>
      <c r="L63">
        <v>3.5</v>
      </c>
      <c r="M63">
        <v>0.28299999999999997</v>
      </c>
      <c r="O63">
        <v>3.3750000000000009</v>
      </c>
      <c r="P63">
        <v>0.2400853958261327</v>
      </c>
      <c r="R63">
        <v>3.375</v>
      </c>
      <c r="S63">
        <v>0.25600156311740069</v>
      </c>
      <c r="Y63">
        <v>3.5000000000000004</v>
      </c>
      <c r="Z63">
        <v>0.24781074104272957</v>
      </c>
      <c r="AA63" s="4">
        <v>1.08</v>
      </c>
      <c r="AB63">
        <f t="shared" si="7"/>
        <v>3.375</v>
      </c>
      <c r="AC63">
        <v>0.1975999237034379</v>
      </c>
    </row>
    <row r="64" spans="1:32" ht="15" x14ac:dyDescent="0.35">
      <c r="A64">
        <v>3.5</v>
      </c>
      <c r="B64">
        <v>0.24710253085375775</v>
      </c>
      <c r="F64">
        <v>3.5</v>
      </c>
      <c r="G64">
        <v>0.28000000000000003</v>
      </c>
      <c r="I64">
        <v>3.5</v>
      </c>
      <c r="J64">
        <v>0.22192822875343071</v>
      </c>
      <c r="O64">
        <v>3.5000000000000009</v>
      </c>
      <c r="P64">
        <v>0.27241319197232439</v>
      </c>
      <c r="R64">
        <v>3.5</v>
      </c>
      <c r="S64">
        <v>0.28242562898835</v>
      </c>
      <c r="AA64" s="4">
        <v>1.1200000000000001</v>
      </c>
      <c r="AB64">
        <f t="shared" si="7"/>
        <v>3.5000000000000004</v>
      </c>
      <c r="AC64">
        <v>0.21278503531576723</v>
      </c>
    </row>
    <row r="65" spans="27:31" ht="15" x14ac:dyDescent="0.35">
      <c r="AA65" s="4"/>
      <c r="AD65" s="4"/>
    </row>
    <row r="66" spans="27:31" ht="15" x14ac:dyDescent="0.35">
      <c r="AE66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Iresh</dc:creator>
  <cp:lastModifiedBy>Nikhil Iresh</cp:lastModifiedBy>
  <dcterms:created xsi:type="dcterms:W3CDTF">2025-08-30T13:28:56Z</dcterms:created>
  <dcterms:modified xsi:type="dcterms:W3CDTF">2025-11-03T17:21:42Z</dcterms:modified>
</cp:coreProperties>
</file>