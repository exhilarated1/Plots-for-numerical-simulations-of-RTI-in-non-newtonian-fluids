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kir\Downloads\"/>
    </mc:Choice>
  </mc:AlternateContent>
  <xr:revisionPtr revIDLastSave="0" documentId="13_ncr:1_{E4CB2D56-D686-4CCC-AB40-BA0B958EAD9D}" xr6:coauthVersionLast="47" xr6:coauthVersionMax="47" xr10:uidLastSave="{00000000-0000-0000-0000-000000000000}"/>
  <bookViews>
    <workbookView xWindow="-108" yWindow="-108" windowWidth="23256" windowHeight="12456" xr2:uid="{AC01C8D0-6B61-45BA-8EBD-3EE06256999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32" i="1" l="1"/>
  <c r="C32" i="1"/>
  <c r="U32" i="1"/>
  <c r="AD32" i="1"/>
  <c r="AN32" i="1"/>
  <c r="AV1" i="1"/>
  <c r="AM1" i="1"/>
  <c r="AD1" i="1"/>
  <c r="U1" i="1"/>
  <c r="C1" i="1"/>
  <c r="L1" i="1"/>
  <c r="AZ22" i="1" l="1"/>
  <c r="AZ23" i="1"/>
  <c r="AZ24" i="1"/>
  <c r="AZ25" i="1"/>
  <c r="AQ5" i="1"/>
  <c r="AQ6" i="1"/>
  <c r="AQ7" i="1"/>
  <c r="AQ8" i="1"/>
  <c r="AQ9" i="1"/>
  <c r="AQ10" i="1"/>
  <c r="AQ11" i="1"/>
  <c r="AQ12" i="1"/>
  <c r="AQ13" i="1"/>
  <c r="AQ4" i="1"/>
  <c r="Z5" i="1"/>
  <c r="Z6" i="1"/>
  <c r="Z7" i="1"/>
  <c r="Z8" i="1"/>
  <c r="Z9" i="1"/>
  <c r="Z10" i="1"/>
  <c r="Z11" i="1"/>
  <c r="Z12" i="1"/>
  <c r="Z4" i="1"/>
  <c r="AQ14" i="1"/>
  <c r="AQ15" i="1"/>
  <c r="AQ16" i="1"/>
  <c r="AQ17" i="1"/>
  <c r="AQ18" i="1"/>
  <c r="AQ19" i="1"/>
  <c r="AQ20" i="1"/>
  <c r="AQ21" i="1"/>
  <c r="AQ22" i="1"/>
  <c r="AQ23" i="1"/>
  <c r="AQ24" i="1"/>
  <c r="AQ25" i="1"/>
  <c r="AQ26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Z13" i="1"/>
  <c r="Z14" i="1"/>
  <c r="Z15" i="1"/>
  <c r="Z16" i="1"/>
  <c r="Z17" i="1"/>
  <c r="Z18" i="1"/>
  <c r="Z19" i="1"/>
  <c r="Z20" i="1"/>
  <c r="Z21" i="1"/>
  <c r="Z22" i="1"/>
  <c r="Z23" i="1"/>
  <c r="Z24" i="1"/>
  <c r="Z25" i="1"/>
  <c r="Z26" i="1"/>
  <c r="Z27" i="1"/>
  <c r="Z28" i="1"/>
  <c r="Z29" i="1"/>
  <c r="P6" i="1"/>
  <c r="P7" i="1"/>
  <c r="P8" i="1"/>
  <c r="P9" i="1"/>
  <c r="P10" i="1"/>
  <c r="P11" i="1"/>
  <c r="P12" i="1"/>
  <c r="P13" i="1"/>
  <c r="G21" i="1"/>
  <c r="G10" i="1"/>
  <c r="AH59" i="1"/>
  <c r="AH60" i="1"/>
  <c r="AH61" i="1"/>
  <c r="Y22" i="1"/>
  <c r="Y23" i="1"/>
  <c r="Y24" i="1"/>
  <c r="Y26" i="1"/>
  <c r="Y27" i="1"/>
  <c r="Y28" i="1"/>
  <c r="Y29" i="1"/>
  <c r="Y20" i="1"/>
  <c r="Y21" i="1"/>
  <c r="Y25" i="1"/>
  <c r="AH35" i="1"/>
  <c r="AH36" i="1"/>
  <c r="AH37" i="1"/>
  <c r="AH38" i="1"/>
  <c r="AH39" i="1"/>
  <c r="AH40" i="1"/>
  <c r="AH41" i="1"/>
  <c r="AH42" i="1"/>
  <c r="AH43" i="1"/>
  <c r="AH44" i="1"/>
  <c r="AH45" i="1"/>
  <c r="AH46" i="1"/>
  <c r="AH47" i="1"/>
  <c r="AH48" i="1"/>
  <c r="AH49" i="1"/>
  <c r="AH50" i="1"/>
  <c r="AH51" i="1"/>
  <c r="AH52" i="1"/>
  <c r="AH53" i="1"/>
  <c r="AH54" i="1"/>
  <c r="AH55" i="1"/>
  <c r="AH56" i="1"/>
  <c r="AH57" i="1"/>
  <c r="AH58" i="1"/>
  <c r="AH62" i="1"/>
  <c r="AH34" i="1"/>
  <c r="Y4" i="1"/>
  <c r="Y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3" i="1"/>
  <c r="AY29" i="1"/>
  <c r="AY5" i="1"/>
  <c r="AY6" i="1"/>
  <c r="AY7" i="1"/>
  <c r="AY8" i="1"/>
  <c r="AY9" i="1"/>
  <c r="AY10" i="1"/>
  <c r="AY11" i="1"/>
  <c r="AY12" i="1"/>
  <c r="AY13" i="1"/>
  <c r="AY14" i="1"/>
  <c r="AY15" i="1"/>
  <c r="AY16" i="1"/>
  <c r="AY17" i="1"/>
  <c r="AY18" i="1"/>
  <c r="AY19" i="1"/>
  <c r="AY20" i="1"/>
  <c r="AY21" i="1"/>
  <c r="AY22" i="1"/>
  <c r="AY23" i="1"/>
  <c r="AY24" i="1"/>
  <c r="AY25" i="1"/>
  <c r="AY26" i="1"/>
  <c r="AY27" i="1"/>
  <c r="AY28" i="1"/>
  <c r="AY4" i="1"/>
  <c r="AH5" i="1"/>
  <c r="AH6" i="1"/>
  <c r="AH7" i="1"/>
  <c r="AH8" i="1"/>
  <c r="AH9" i="1"/>
  <c r="AH10" i="1"/>
  <c r="AH11" i="1"/>
  <c r="AH12" i="1"/>
  <c r="AH13" i="1"/>
  <c r="AH14" i="1"/>
  <c r="AH15" i="1"/>
  <c r="AH16" i="1"/>
  <c r="AH17" i="1"/>
  <c r="AH18" i="1"/>
  <c r="AH19" i="1"/>
  <c r="AH20" i="1"/>
  <c r="AH21" i="1"/>
  <c r="AH22" i="1"/>
  <c r="AH23" i="1"/>
  <c r="AH24" i="1"/>
  <c r="AH25" i="1"/>
  <c r="AH26" i="1"/>
  <c r="AH27" i="1"/>
  <c r="AH28" i="1"/>
  <c r="AH29" i="1"/>
  <c r="AH4" i="1"/>
  <c r="H62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35" i="1"/>
  <c r="Z36" i="1"/>
  <c r="Z37" i="1"/>
  <c r="Z38" i="1"/>
  <c r="Z39" i="1"/>
  <c r="Z40" i="1"/>
  <c r="Z41" i="1"/>
  <c r="Z42" i="1"/>
  <c r="Z43" i="1"/>
  <c r="Z44" i="1"/>
  <c r="Z45" i="1"/>
  <c r="Z46" i="1"/>
  <c r="Z47" i="1"/>
  <c r="Z48" i="1"/>
  <c r="Z49" i="1"/>
  <c r="Z50" i="1"/>
  <c r="Z51" i="1"/>
  <c r="Z52" i="1"/>
  <c r="Z53" i="1"/>
  <c r="Z54" i="1"/>
  <c r="Z55" i="1"/>
  <c r="Z56" i="1"/>
  <c r="Z57" i="1"/>
  <c r="Z58" i="1"/>
  <c r="Z59" i="1"/>
  <c r="Z60" i="1"/>
  <c r="Z61" i="1"/>
  <c r="Z35" i="1"/>
  <c r="AI36" i="1"/>
  <c r="AI37" i="1"/>
  <c r="AI38" i="1"/>
  <c r="AI39" i="1"/>
  <c r="AI40" i="1"/>
  <c r="AI41" i="1"/>
  <c r="AI42" i="1"/>
  <c r="AI43" i="1"/>
  <c r="AI44" i="1"/>
  <c r="AI45" i="1"/>
  <c r="AI46" i="1"/>
  <c r="AI47" i="1"/>
  <c r="AI48" i="1"/>
  <c r="AI49" i="1"/>
  <c r="AI50" i="1"/>
  <c r="AI51" i="1"/>
  <c r="AI52" i="1"/>
  <c r="AI53" i="1"/>
  <c r="AI54" i="1"/>
  <c r="AI55" i="1"/>
  <c r="AI56" i="1"/>
  <c r="AI57" i="1"/>
  <c r="AI58" i="1"/>
  <c r="AI59" i="1"/>
  <c r="AI60" i="1"/>
  <c r="AI61" i="1"/>
  <c r="AI35" i="1"/>
  <c r="AR36" i="1"/>
  <c r="AR37" i="1"/>
  <c r="AR38" i="1"/>
  <c r="AR39" i="1"/>
  <c r="AR40" i="1"/>
  <c r="AR41" i="1"/>
  <c r="AR42" i="1"/>
  <c r="AR43" i="1"/>
  <c r="AR44" i="1"/>
  <c r="AR45" i="1"/>
  <c r="AR46" i="1"/>
  <c r="AR47" i="1"/>
  <c r="AR48" i="1"/>
  <c r="AR49" i="1"/>
  <c r="AR50" i="1"/>
  <c r="AR51" i="1"/>
  <c r="AR52" i="1"/>
  <c r="AR53" i="1"/>
  <c r="AR54" i="1"/>
  <c r="AR55" i="1"/>
  <c r="AR56" i="1"/>
  <c r="AR57" i="1"/>
  <c r="AR58" i="1"/>
  <c r="AR59" i="1"/>
  <c r="AR60" i="1"/>
  <c r="AR61" i="1"/>
  <c r="AR35" i="1"/>
  <c r="AZ5" i="1"/>
  <c r="AZ6" i="1"/>
  <c r="AZ7" i="1"/>
  <c r="AZ8" i="1"/>
  <c r="AZ9" i="1"/>
  <c r="AZ10" i="1"/>
  <c r="AZ11" i="1"/>
  <c r="AZ12" i="1"/>
  <c r="AZ13" i="1"/>
  <c r="AZ14" i="1"/>
  <c r="AZ15" i="1"/>
  <c r="AZ16" i="1"/>
  <c r="AZ17" i="1"/>
  <c r="AZ18" i="1"/>
  <c r="AZ19" i="1"/>
  <c r="AZ20" i="1"/>
  <c r="AZ21" i="1"/>
  <c r="AZ26" i="1"/>
  <c r="AZ27" i="1"/>
  <c r="AZ28" i="1"/>
  <c r="AZ29" i="1"/>
  <c r="AZ4" i="1"/>
  <c r="AQ27" i="1"/>
  <c r="AQ28" i="1"/>
  <c r="AQ29" i="1"/>
  <c r="AI5" i="1"/>
  <c r="AI6" i="1"/>
  <c r="AI7" i="1"/>
  <c r="AI8" i="1"/>
  <c r="AI9" i="1"/>
  <c r="AI10" i="1"/>
  <c r="AI11" i="1"/>
  <c r="AI12" i="1"/>
  <c r="AI13" i="1"/>
  <c r="AI14" i="1"/>
  <c r="AI15" i="1"/>
  <c r="AI16" i="1"/>
  <c r="AI17" i="1"/>
  <c r="AI18" i="1"/>
  <c r="AI19" i="1"/>
  <c r="AI20" i="1"/>
  <c r="AI21" i="1"/>
  <c r="AI22" i="1"/>
  <c r="AI23" i="1"/>
  <c r="AI24" i="1"/>
  <c r="AI25" i="1"/>
  <c r="AI26" i="1"/>
  <c r="AI27" i="1"/>
  <c r="AI28" i="1"/>
  <c r="AI29" i="1"/>
  <c r="AI4" i="1"/>
  <c r="AQ36" i="1"/>
  <c r="AQ37" i="1"/>
  <c r="AQ38" i="1"/>
  <c r="AQ39" i="1"/>
  <c r="AQ40" i="1"/>
  <c r="AQ41" i="1"/>
  <c r="AQ42" i="1"/>
  <c r="AQ43" i="1"/>
  <c r="AQ44" i="1"/>
  <c r="AQ45" i="1"/>
  <c r="AQ46" i="1"/>
  <c r="AQ47" i="1"/>
  <c r="AQ48" i="1"/>
  <c r="AQ49" i="1"/>
  <c r="AQ50" i="1"/>
  <c r="AQ51" i="1"/>
  <c r="AQ52" i="1"/>
  <c r="AQ53" i="1"/>
  <c r="AQ54" i="1"/>
  <c r="AQ55" i="1"/>
  <c r="AQ56" i="1"/>
  <c r="AQ57" i="1"/>
  <c r="AQ58" i="1"/>
  <c r="AQ59" i="1"/>
  <c r="AQ60" i="1"/>
  <c r="AQ61" i="1"/>
  <c r="AQ35" i="1"/>
  <c r="Y36" i="1"/>
  <c r="Y37" i="1"/>
  <c r="Y38" i="1"/>
  <c r="Y39" i="1"/>
  <c r="Y40" i="1"/>
  <c r="Y41" i="1"/>
  <c r="Y42" i="1"/>
  <c r="Y43" i="1"/>
  <c r="Y44" i="1"/>
  <c r="Y45" i="1"/>
  <c r="Y46" i="1"/>
  <c r="Y47" i="1"/>
  <c r="Y48" i="1"/>
  <c r="Y49" i="1"/>
  <c r="Y50" i="1"/>
  <c r="Y51" i="1"/>
  <c r="Y52" i="1"/>
  <c r="Y53" i="1"/>
  <c r="Y54" i="1"/>
  <c r="Y55" i="1"/>
  <c r="Y56" i="1"/>
  <c r="Y57" i="1"/>
  <c r="Y58" i="1"/>
  <c r="Y59" i="1"/>
  <c r="Y60" i="1"/>
  <c r="Y61" i="1"/>
  <c r="Y62" i="1"/>
  <c r="Y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35" i="1"/>
  <c r="P5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4" i="1"/>
  <c r="G4" i="1"/>
  <c r="G5" i="1"/>
  <c r="G6" i="1"/>
  <c r="G7" i="1"/>
  <c r="G8" i="1"/>
  <c r="G9" i="1"/>
  <c r="G11" i="1"/>
  <c r="G12" i="1"/>
  <c r="G13" i="1"/>
  <c r="G14" i="1"/>
  <c r="G15" i="1"/>
  <c r="G16" i="1"/>
  <c r="G17" i="1"/>
  <c r="G18" i="1"/>
  <c r="G19" i="1"/>
  <c r="G20" i="1"/>
  <c r="G22" i="1"/>
  <c r="G23" i="1"/>
  <c r="G24" i="1"/>
  <c r="G25" i="1"/>
  <c r="G26" i="1"/>
  <c r="G27" i="1"/>
  <c r="G28" i="1"/>
  <c r="G29" i="1"/>
  <c r="G3" i="1"/>
  <c r="K29" i="1" l="1"/>
  <c r="K28" i="1"/>
  <c r="K27" i="1"/>
  <c r="K26" i="1"/>
  <c r="K25" i="1"/>
  <c r="K24" i="1"/>
  <c r="K23" i="1"/>
  <c r="K22" i="1"/>
  <c r="K21" i="1"/>
  <c r="K20" i="1"/>
  <c r="K19" i="1"/>
  <c r="K18" i="1"/>
  <c r="K17" i="1"/>
  <c r="K16" i="1"/>
  <c r="K15" i="1"/>
  <c r="K14" i="1"/>
  <c r="K13" i="1"/>
  <c r="K12" i="1"/>
  <c r="K11" i="1"/>
  <c r="K10" i="1"/>
  <c r="K9" i="1"/>
  <c r="K8" i="1"/>
  <c r="K7" i="1"/>
  <c r="K6" i="1"/>
  <c r="K5" i="1"/>
  <c r="K4" i="1"/>
  <c r="K3" i="1"/>
  <c r="T3" i="1"/>
  <c r="AT29" i="1" l="1"/>
  <c r="AT28" i="1"/>
  <c r="AT27" i="1"/>
  <c r="AT26" i="1"/>
  <c r="AT25" i="1"/>
  <c r="AT24" i="1"/>
  <c r="AT23" i="1"/>
  <c r="AT22" i="1"/>
  <c r="AT21" i="1"/>
  <c r="AT20" i="1"/>
  <c r="AT19" i="1"/>
  <c r="AT18" i="1"/>
  <c r="AT17" i="1"/>
  <c r="AT16" i="1"/>
  <c r="AT15" i="1"/>
  <c r="AT14" i="1"/>
  <c r="AT13" i="1"/>
  <c r="AT12" i="1"/>
  <c r="AT11" i="1"/>
  <c r="AT10" i="1"/>
  <c r="AT9" i="1"/>
  <c r="AT8" i="1"/>
  <c r="AT7" i="1"/>
  <c r="AT6" i="1"/>
  <c r="AT5" i="1"/>
  <c r="AT4" i="1"/>
  <c r="AT3" i="1"/>
  <c r="AL29" i="1"/>
  <c r="AL28" i="1"/>
  <c r="AL27" i="1"/>
  <c r="AL26" i="1"/>
  <c r="AL25" i="1"/>
  <c r="AL24" i="1"/>
  <c r="AL23" i="1"/>
  <c r="AL22" i="1"/>
  <c r="AL21" i="1"/>
  <c r="AL20" i="1"/>
  <c r="AL19" i="1"/>
  <c r="AL18" i="1"/>
  <c r="AL17" i="1"/>
  <c r="AL16" i="1"/>
  <c r="AL15" i="1"/>
  <c r="AL14" i="1"/>
  <c r="AL13" i="1"/>
  <c r="AL12" i="1"/>
  <c r="AL11" i="1"/>
  <c r="AL10" i="1"/>
  <c r="AL9" i="1"/>
  <c r="AL8" i="1"/>
  <c r="AL7" i="1"/>
  <c r="AL6" i="1"/>
  <c r="AL5" i="1"/>
  <c r="AL4" i="1"/>
  <c r="AL3" i="1"/>
  <c r="AC29" i="1"/>
  <c r="AC28" i="1"/>
  <c r="AC27" i="1"/>
  <c r="AC26" i="1"/>
  <c r="AC25" i="1"/>
  <c r="AC24" i="1"/>
  <c r="AC23" i="1"/>
  <c r="AC22" i="1"/>
  <c r="AC21" i="1"/>
  <c r="AC20" i="1"/>
  <c r="AC19" i="1"/>
  <c r="AC18" i="1"/>
  <c r="AC17" i="1"/>
  <c r="AC16" i="1"/>
  <c r="AC15" i="1"/>
  <c r="AC14" i="1"/>
  <c r="AC13" i="1"/>
  <c r="AC12" i="1"/>
  <c r="AC11" i="1"/>
  <c r="AC10" i="1"/>
  <c r="AC9" i="1"/>
  <c r="AC8" i="1"/>
  <c r="AC7" i="1"/>
  <c r="AC6" i="1"/>
  <c r="AC5" i="1"/>
  <c r="AC4" i="1"/>
  <c r="AC3" i="1"/>
  <c r="T29" i="1"/>
  <c r="T28" i="1"/>
  <c r="T27" i="1"/>
  <c r="T26" i="1"/>
  <c r="T25" i="1"/>
  <c r="T24" i="1"/>
  <c r="T23" i="1"/>
  <c r="T22" i="1"/>
  <c r="T21" i="1"/>
  <c r="T20" i="1"/>
  <c r="T19" i="1"/>
  <c r="T18" i="1"/>
  <c r="T17" i="1"/>
  <c r="T16" i="1"/>
  <c r="T15" i="1"/>
  <c r="T14" i="1"/>
  <c r="T13" i="1"/>
  <c r="T12" i="1"/>
  <c r="T11" i="1"/>
  <c r="T10" i="1"/>
  <c r="T9" i="1"/>
  <c r="T8" i="1"/>
  <c r="T7" i="1"/>
  <c r="T6" i="1"/>
  <c r="T5" i="1"/>
  <c r="T4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</calcChain>
</file>

<file path=xl/sharedStrings.xml><?xml version="1.0" encoding="utf-8"?>
<sst xmlns="http://schemas.openxmlformats.org/spreadsheetml/2006/main" count="87" uniqueCount="9">
  <si>
    <t>T(sec)</t>
  </si>
  <si>
    <t>T*</t>
  </si>
  <si>
    <t>nu1</t>
  </si>
  <si>
    <t>U_Magnitude</t>
  </si>
  <si>
    <t>U_Y</t>
  </si>
  <si>
    <t>Y/W</t>
  </si>
  <si>
    <r>
      <t>n1/K</t>
    </r>
    <r>
      <rPr>
        <vertAlign val="subscript"/>
        <sz val="11"/>
        <color theme="1"/>
        <rFont val="Calibri"/>
        <family val="2"/>
        <scheme val="minor"/>
      </rPr>
      <t>3</t>
    </r>
  </si>
  <si>
    <t>U/U0</t>
  </si>
  <si>
    <t>nu/K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</si>
</sst>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color theme="1"/>
      <name val="Segoe UI"/>
      <family val="2"/>
    </font>
    <font>
      <sz val="12"/>
      <color theme="1"/>
      <name val="Times New Roman"/>
      <family val="1"/>
    </font>
    <font>
      <sz val="20"/>
      <color theme="1"/>
      <name val="Times New Roman"/>
      <family val="1"/>
    </font>
    <font>
      <vertAlign val="subscript"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1" fontId="0" fillId="0" borderId="0" xfId="0" applyNumberFormat="1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3EB335-EF93-4673-A1CB-CF5010343683}">
  <dimension ref="A1:AZ70"/>
  <sheetViews>
    <sheetView tabSelected="1" zoomScale="60" zoomScaleNormal="101" workbookViewId="0"/>
  </sheetViews>
  <sheetFormatPr defaultRowHeight="14.4" x14ac:dyDescent="0.3"/>
  <cols>
    <col min="21" max="21" width="12.21875" bestFit="1" customWidth="1"/>
  </cols>
  <sheetData>
    <row r="1" spans="1:52" ht="25.2" x14ac:dyDescent="0.45">
      <c r="C1" s="3" t="str">
        <f>"Aₜ = 0.4, n = 0.8, K"&amp;_xlfn.UNICHAR(8323)</f>
        <v>Aₜ = 0.4, n = 0.8, K₃</v>
      </c>
      <c r="D1" s="4"/>
      <c r="L1" s="3" t="str">
        <f>"Aₜ = 0.4, n = 0.8, K"&amp;_xlfn.UNICHAR(8324)</f>
        <v>Aₜ = 0.4, n = 0.8, K₄</v>
      </c>
      <c r="M1" s="4"/>
      <c r="U1" s="3" t="str">
        <f>"Aₜ = 0.4, n = 0.7, K"&amp;_xlfn.UNICHAR(8323)</f>
        <v>Aₜ = 0.4, n = 0.7, K₃</v>
      </c>
      <c r="V1" s="4"/>
      <c r="AD1" s="3" t="str">
        <f>"Aₜ = 0.4, n = 0.6, K"&amp;_xlfn.UNICHAR(8323)</f>
        <v>Aₜ = 0.4, n = 0.6, K₃</v>
      </c>
      <c r="AE1" s="4"/>
      <c r="AM1" s="3" t="str">
        <f>"Aₜ = 0.4, n = 1, K"&amp;_xlfn.UNICHAR(8323)</f>
        <v>Aₜ = 0.4, n = 1, K₃</v>
      </c>
      <c r="AN1" s="4"/>
      <c r="AV1" s="3" t="str">
        <f>"Aₜ = 0.4, n = 0.5, K"&amp;_xlfn.UNICHAR(8323)</f>
        <v>Aₜ = 0.4, n = 0.5, K₃</v>
      </c>
      <c r="AW1" s="4"/>
    </row>
    <row r="2" spans="1:52" ht="15.6" x14ac:dyDescent="0.3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J2" t="s">
        <v>0</v>
      </c>
      <c r="K2" t="s">
        <v>1</v>
      </c>
      <c r="L2" t="s">
        <v>2</v>
      </c>
      <c r="M2" t="s">
        <v>3</v>
      </c>
      <c r="N2" t="s">
        <v>4</v>
      </c>
      <c r="O2" t="s">
        <v>5</v>
      </c>
      <c r="P2" t="s">
        <v>6</v>
      </c>
      <c r="Q2" t="s">
        <v>7</v>
      </c>
      <c r="S2" t="s">
        <v>0</v>
      </c>
      <c r="T2" t="s">
        <v>1</v>
      </c>
      <c r="U2" t="s">
        <v>2</v>
      </c>
      <c r="V2" t="s">
        <v>3</v>
      </c>
      <c r="W2" t="s">
        <v>4</v>
      </c>
      <c r="X2" t="s">
        <v>5</v>
      </c>
      <c r="Y2" t="s">
        <v>6</v>
      </c>
      <c r="Z2" t="s">
        <v>7</v>
      </c>
      <c r="AB2" t="s">
        <v>0</v>
      </c>
      <c r="AC2" t="s">
        <v>1</v>
      </c>
      <c r="AD2" t="s">
        <v>2</v>
      </c>
      <c r="AE2" t="s">
        <v>3</v>
      </c>
      <c r="AF2" t="s">
        <v>4</v>
      </c>
      <c r="AG2" t="s">
        <v>5</v>
      </c>
      <c r="AH2" t="s">
        <v>6</v>
      </c>
      <c r="AI2" t="s">
        <v>7</v>
      </c>
      <c r="AK2" t="s">
        <v>0</v>
      </c>
      <c r="AL2" t="s">
        <v>1</v>
      </c>
      <c r="AM2" t="s">
        <v>2</v>
      </c>
      <c r="AN2" t="s">
        <v>3</v>
      </c>
      <c r="AO2" t="s">
        <v>4</v>
      </c>
      <c r="AP2" t="s">
        <v>5</v>
      </c>
      <c r="AQ2" t="s">
        <v>7</v>
      </c>
      <c r="AS2" t="s">
        <v>0</v>
      </c>
      <c r="AT2" t="s">
        <v>1</v>
      </c>
      <c r="AU2" t="s">
        <v>2</v>
      </c>
      <c r="AV2" t="s">
        <v>3</v>
      </c>
      <c r="AW2" t="s">
        <v>4</v>
      </c>
      <c r="AX2" t="s">
        <v>5</v>
      </c>
      <c r="AY2" t="s">
        <v>6</v>
      </c>
      <c r="AZ2" t="s">
        <v>7</v>
      </c>
    </row>
    <row r="3" spans="1:52" ht="15" x14ac:dyDescent="0.35">
      <c r="A3" s="2">
        <v>0</v>
      </c>
      <c r="B3">
        <f>A3/0.02256</f>
        <v>0</v>
      </c>
      <c r="C3">
        <v>2.8830700000000002E-4</v>
      </c>
      <c r="D3">
        <v>0</v>
      </c>
      <c r="E3">
        <v>0</v>
      </c>
      <c r="F3">
        <v>0.1</v>
      </c>
      <c r="G3">
        <f>C3/0.000288307</f>
        <v>1</v>
      </c>
      <c r="H3" s="2">
        <f>D3/1.40071410359145</f>
        <v>0</v>
      </c>
      <c r="I3" s="2"/>
      <c r="J3" s="2">
        <v>0</v>
      </c>
      <c r="K3">
        <f>J3/0.02256</f>
        <v>0</v>
      </c>
      <c r="L3">
        <v>1.85343E-4</v>
      </c>
      <c r="M3">
        <v>0</v>
      </c>
      <c r="N3">
        <v>0</v>
      </c>
      <c r="O3">
        <v>0.1</v>
      </c>
      <c r="P3">
        <v>1</v>
      </c>
      <c r="Q3" s="2">
        <v>0</v>
      </c>
      <c r="S3" s="2">
        <v>0</v>
      </c>
      <c r="T3">
        <f>S3/0.02256</f>
        <v>0</v>
      </c>
      <c r="U3">
        <v>2.8830700000000002E-4</v>
      </c>
      <c r="V3">
        <v>0</v>
      </c>
      <c r="W3">
        <v>0</v>
      </c>
      <c r="X3">
        <v>0.1</v>
      </c>
      <c r="Y3">
        <f>U3/0.000288307</f>
        <v>1</v>
      </c>
      <c r="Z3" s="2">
        <v>0</v>
      </c>
      <c r="AA3">
        <v>0</v>
      </c>
      <c r="AB3" s="2">
        <v>0</v>
      </c>
      <c r="AC3">
        <f>AB3/0.02256</f>
        <v>0</v>
      </c>
      <c r="AD3">
        <v>2.8830700000000002E-4</v>
      </c>
      <c r="AE3">
        <v>0</v>
      </c>
      <c r="AF3">
        <v>0</v>
      </c>
      <c r="AG3">
        <v>0.1</v>
      </c>
      <c r="AH3">
        <v>1</v>
      </c>
      <c r="AI3" s="2">
        <v>0</v>
      </c>
      <c r="AK3" s="2">
        <v>0</v>
      </c>
      <c r="AL3">
        <f>AK3/0.02256</f>
        <v>0</v>
      </c>
      <c r="AM3">
        <v>2.8830700000000002E-4</v>
      </c>
      <c r="AN3">
        <v>0</v>
      </c>
      <c r="AO3">
        <v>0</v>
      </c>
      <c r="AP3">
        <v>0.1</v>
      </c>
      <c r="AQ3" s="2">
        <v>0</v>
      </c>
      <c r="AS3" s="2">
        <v>0</v>
      </c>
      <c r="AT3">
        <f>AS3/0.02256</f>
        <v>0</v>
      </c>
      <c r="AU3">
        <v>2.8830700000000002E-4</v>
      </c>
      <c r="AV3">
        <v>0</v>
      </c>
      <c r="AW3">
        <v>0</v>
      </c>
      <c r="AX3">
        <v>0.1</v>
      </c>
      <c r="AY3">
        <v>1</v>
      </c>
      <c r="AZ3" s="2">
        <v>0</v>
      </c>
    </row>
    <row r="4" spans="1:52" ht="15" x14ac:dyDescent="0.35">
      <c r="A4" s="2">
        <v>2.8199999999999999E-2</v>
      </c>
      <c r="B4">
        <f>A4/0.2256</f>
        <v>0.125</v>
      </c>
      <c r="C4">
        <v>2.64663E-4</v>
      </c>
      <c r="D4">
        <v>3.1076699999999999E-2</v>
      </c>
      <c r="E4">
        <v>3.1076699999999999E-2</v>
      </c>
      <c r="F4">
        <v>0.100317</v>
      </c>
      <c r="G4">
        <f t="shared" ref="G4:G29" si="0">C4/0.000288307</f>
        <v>0.91799019794871428</v>
      </c>
      <c r="H4" s="2">
        <f t="shared" ref="H4:H29" si="1">D4/1.40071410359145</f>
        <v>2.2186326189133753E-2</v>
      </c>
      <c r="I4" s="2"/>
      <c r="J4" s="2">
        <v>2.8199999999999999E-2</v>
      </c>
      <c r="K4">
        <f>J4/0.2256</f>
        <v>0.125</v>
      </c>
      <c r="L4">
        <v>1.63821E-4</v>
      </c>
      <c r="M4">
        <v>1.96683528E-2</v>
      </c>
      <c r="N4">
        <v>1.96683528E-2</v>
      </c>
      <c r="O4">
        <v>0.10129299999999999</v>
      </c>
      <c r="P4">
        <f>L4/0.000185343</f>
        <v>0.88388015732992342</v>
      </c>
      <c r="Q4">
        <f t="shared" ref="Q4:Q29" si="2">N4/1.40071410359145</f>
        <v>1.4041661142391639E-2</v>
      </c>
      <c r="S4" s="2">
        <v>2.8199999999999999E-2</v>
      </c>
      <c r="T4">
        <f>S4/0.2256</f>
        <v>0.125</v>
      </c>
      <c r="U4">
        <v>2.4499610000000002E-4</v>
      </c>
      <c r="V4">
        <v>2.549102E-2</v>
      </c>
      <c r="W4">
        <v>1.1917000000000001E-2</v>
      </c>
      <c r="X4">
        <v>0.103353</v>
      </c>
      <c r="Y4">
        <f t="shared" ref="Y4:Y29" si="3">U4/0.000288307</f>
        <v>0.84977506616211196</v>
      </c>
      <c r="Z4">
        <f>V4/1.40071410359145</f>
        <v>1.819858880169813E-2</v>
      </c>
      <c r="AB4" s="2">
        <v>2.8199999999999999E-2</v>
      </c>
      <c r="AC4">
        <f>AB4/0.2256</f>
        <v>0.125</v>
      </c>
      <c r="AD4">
        <v>2.4314200000000001E-4</v>
      </c>
      <c r="AE4">
        <v>2.97188E-2</v>
      </c>
      <c r="AF4">
        <v>2.9718700000000001E-2</v>
      </c>
      <c r="AG4">
        <v>0.101438</v>
      </c>
      <c r="AH4">
        <f t="shared" ref="AH4:AH29" si="4">AD4/0.000288307</f>
        <v>0.84334407419868407</v>
      </c>
      <c r="AI4">
        <f t="shared" ref="AI4:AI29" si="5">AE4/1.40071410359145</f>
        <v>2.1216892100822424E-2</v>
      </c>
      <c r="AK4" s="2">
        <v>2.8199999999999999E-2</v>
      </c>
      <c r="AL4">
        <f>AK4/0.2256</f>
        <v>0.125</v>
      </c>
      <c r="AM4">
        <v>2.8830700000000002E-4</v>
      </c>
      <c r="AN4">
        <v>1.1917000000000001E-2</v>
      </c>
      <c r="AO4">
        <v>1.1916899999999999E-2</v>
      </c>
      <c r="AP4">
        <v>0.101505</v>
      </c>
      <c r="AQ4">
        <f>AN4/1.40071410359145</f>
        <v>8.5078032479609152E-3</v>
      </c>
      <c r="AS4" s="2">
        <v>2.8199999999999999E-2</v>
      </c>
      <c r="AT4">
        <f>AS4/0.2256</f>
        <v>0.125</v>
      </c>
      <c r="AU4">
        <v>1.9878300000000001E-4</v>
      </c>
      <c r="AV4">
        <v>4.24514E-2</v>
      </c>
      <c r="AW4">
        <v>4.2451200000000001E-2</v>
      </c>
      <c r="AX4">
        <v>0.10234799999999999</v>
      </c>
      <c r="AY4">
        <f>AU4/0.000288307</f>
        <v>0.68948377944344053</v>
      </c>
      <c r="AZ4">
        <f>AV4/1.40071410359145</f>
        <v>3.0306969774312995E-2</v>
      </c>
    </row>
    <row r="5" spans="1:52" ht="15" x14ac:dyDescent="0.35">
      <c r="A5" s="2">
        <v>5.6399999999999999E-2</v>
      </c>
      <c r="B5">
        <f t="shared" ref="B5:B29" si="6">A5/0.2256</f>
        <v>0.25</v>
      </c>
      <c r="C5">
        <v>2.3097800000000001E-4</v>
      </c>
      <c r="D5">
        <v>8.9865E-2</v>
      </c>
      <c r="E5">
        <v>8.9865E-2</v>
      </c>
      <c r="F5">
        <v>0.104003</v>
      </c>
      <c r="G5">
        <f t="shared" si="0"/>
        <v>0.80115293766713958</v>
      </c>
      <c r="H5" s="2">
        <f t="shared" si="1"/>
        <v>6.415656112092033E-2</v>
      </c>
      <c r="I5" s="2"/>
      <c r="J5" s="2">
        <v>5.6399999999999999E-2</v>
      </c>
      <c r="K5">
        <f t="shared" ref="K5:K29" si="7">J5/0.2256</f>
        <v>0.25</v>
      </c>
      <c r="L5">
        <v>1.3205500000000001E-4</v>
      </c>
      <c r="M5">
        <v>5.2060000000000002E-2</v>
      </c>
      <c r="N5">
        <v>5.20597E-2</v>
      </c>
      <c r="O5">
        <v>0.10985399999999999</v>
      </c>
      <c r="P5">
        <f t="shared" ref="P5:P29" si="8">L5/0.000185343</f>
        <v>0.71248981617865259</v>
      </c>
      <c r="Q5">
        <f t="shared" si="2"/>
        <v>3.7166542313323052E-2</v>
      </c>
      <c r="S5" s="2">
        <v>5.6399999999999999E-2</v>
      </c>
      <c r="T5">
        <f t="shared" ref="T5:T29" si="9">S5/0.2256</f>
        <v>0.25</v>
      </c>
      <c r="U5">
        <v>2.1748899999999999E-4</v>
      </c>
      <c r="V5">
        <v>4.6291800000000001E-2</v>
      </c>
      <c r="W5">
        <v>2.6872199999999999E-2</v>
      </c>
      <c r="X5">
        <v>0.113895</v>
      </c>
      <c r="Y5">
        <f t="shared" si="3"/>
        <v>0.75436600568144363</v>
      </c>
      <c r="Z5">
        <f t="shared" ref="Z5:Z12" si="10">V5/1.40071410359145</f>
        <v>3.3048714138957547E-2</v>
      </c>
      <c r="AB5" s="2">
        <v>5.6399999999999999E-2</v>
      </c>
      <c r="AC5">
        <f t="shared" ref="AC5:AC29" si="11">AB5/0.2256</f>
        <v>0.25</v>
      </c>
      <c r="AD5">
        <v>1.5128200000000001E-4</v>
      </c>
      <c r="AE5">
        <v>8.7915499999999994E-2</v>
      </c>
      <c r="AF5">
        <v>8.7914900000000004E-2</v>
      </c>
      <c r="AG5">
        <v>0.109748</v>
      </c>
      <c r="AH5">
        <f t="shared" si="4"/>
        <v>0.52472537954333398</v>
      </c>
      <c r="AI5">
        <f t="shared" si="5"/>
        <v>6.2764771036847175E-2</v>
      </c>
      <c r="AK5" s="2">
        <v>5.6399999999999999E-2</v>
      </c>
      <c r="AL5">
        <f t="shared" ref="AL5:AL29" si="12">AK5/0.2256</f>
        <v>0.25</v>
      </c>
      <c r="AM5">
        <v>2.8830700000000002E-4</v>
      </c>
      <c r="AN5">
        <v>2.6872199999999999E-2</v>
      </c>
      <c r="AO5">
        <v>2.6871900000000001E-2</v>
      </c>
      <c r="AP5">
        <v>0.104084</v>
      </c>
      <c r="AQ5">
        <f t="shared" ref="AQ5:AQ13" si="13">AN5/1.40071410359145</f>
        <v>1.9184642983960332E-2</v>
      </c>
      <c r="AS5" s="2">
        <v>5.6399999999999999E-2</v>
      </c>
      <c r="AT5">
        <f t="shared" ref="AT5:AT29" si="14">AS5/0.2256</f>
        <v>0.25</v>
      </c>
      <c r="AU5">
        <v>1.19966E-4</v>
      </c>
      <c r="AV5">
        <v>0.100911</v>
      </c>
      <c r="AW5">
        <v>0.10091</v>
      </c>
      <c r="AX5">
        <v>0.112487</v>
      </c>
      <c r="AY5">
        <f t="shared" ref="AY5:AY28" si="15">AU5/0.000288307</f>
        <v>0.41610505468129455</v>
      </c>
      <c r="AZ5">
        <f t="shared" ref="AZ5:AZ29" si="16">AV5/1.40071410359145</f>
        <v>7.2042538688846511E-2</v>
      </c>
    </row>
    <row r="6" spans="1:52" ht="15" x14ac:dyDescent="0.35">
      <c r="A6" s="2">
        <v>8.4599999999999995E-2</v>
      </c>
      <c r="B6">
        <f t="shared" si="6"/>
        <v>0.375</v>
      </c>
      <c r="C6">
        <v>1.9802E-4</v>
      </c>
      <c r="D6">
        <v>0.144235</v>
      </c>
      <c r="E6">
        <v>0.144235</v>
      </c>
      <c r="F6">
        <v>0.115318</v>
      </c>
      <c r="G6">
        <f t="shared" si="0"/>
        <v>0.68683729496682355</v>
      </c>
      <c r="H6" s="2">
        <f t="shared" si="1"/>
        <v>0.10297247641769258</v>
      </c>
      <c r="I6" s="2"/>
      <c r="J6" s="2">
        <v>8.4599999999999995E-2</v>
      </c>
      <c r="K6">
        <f t="shared" si="7"/>
        <v>0.375</v>
      </c>
      <c r="L6">
        <v>1.1896E-4</v>
      </c>
      <c r="M6">
        <v>0.107844</v>
      </c>
      <c r="N6">
        <v>0.10784299999999999</v>
      </c>
      <c r="O6">
        <v>0.12642700000000001</v>
      </c>
      <c r="P6">
        <f t="shared" si="8"/>
        <v>0.64183702648602858</v>
      </c>
      <c r="Q6">
        <f t="shared" si="2"/>
        <v>7.6991442952911715E-2</v>
      </c>
      <c r="S6" s="2">
        <v>8.4599999999999995E-2</v>
      </c>
      <c r="T6">
        <f t="shared" si="9"/>
        <v>0.375</v>
      </c>
      <c r="U6">
        <v>1.6788600000000001E-4</v>
      </c>
      <c r="V6">
        <v>0.102747</v>
      </c>
      <c r="W6">
        <v>5.4023399999999999E-2</v>
      </c>
      <c r="X6">
        <v>0.132108</v>
      </c>
      <c r="Y6">
        <f t="shared" si="3"/>
        <v>0.58231676650237418</v>
      </c>
      <c r="Z6">
        <f t="shared" si="10"/>
        <v>7.3353298675693554E-2</v>
      </c>
      <c r="AB6" s="2">
        <v>8.4599999999999995E-2</v>
      </c>
      <c r="AC6">
        <f t="shared" si="11"/>
        <v>0.375</v>
      </c>
      <c r="AD6">
        <v>1.21475E-4</v>
      </c>
      <c r="AE6">
        <v>0.14238200000000001</v>
      </c>
      <c r="AF6">
        <v>0.14238100000000001</v>
      </c>
      <c r="AG6">
        <v>0.126052</v>
      </c>
      <c r="AH6">
        <f t="shared" si="4"/>
        <v>0.42133905871172045</v>
      </c>
      <c r="AI6">
        <f t="shared" si="5"/>
        <v>0.10164957976430067</v>
      </c>
      <c r="AK6" s="2">
        <v>8.4599999999999995E-2</v>
      </c>
      <c r="AL6">
        <f t="shared" si="12"/>
        <v>0.375</v>
      </c>
      <c r="AM6">
        <v>2.8830700000000002E-4</v>
      </c>
      <c r="AN6">
        <v>5.4023399999999999E-2</v>
      </c>
      <c r="AO6">
        <v>5.4022899999999999E-2</v>
      </c>
      <c r="AP6">
        <v>0.109612</v>
      </c>
      <c r="AQ6">
        <f t="shared" si="13"/>
        <v>3.8568470083568993E-2</v>
      </c>
      <c r="AS6" s="2">
        <v>8.4599999999999995E-2</v>
      </c>
      <c r="AT6">
        <f t="shared" si="14"/>
        <v>0.375</v>
      </c>
      <c r="AU6" s="1">
        <v>9.4099999999999997E-5</v>
      </c>
      <c r="AV6">
        <v>0.15465599999999999</v>
      </c>
      <c r="AW6">
        <v>0.15465499999999999</v>
      </c>
      <c r="AX6">
        <v>0.13058600000000001</v>
      </c>
      <c r="AY6">
        <f t="shared" si="15"/>
        <v>0.326388190366519</v>
      </c>
      <c r="AZ6">
        <f t="shared" si="16"/>
        <v>0.11041225300970404</v>
      </c>
    </row>
    <row r="7" spans="1:52" ht="15" x14ac:dyDescent="0.35">
      <c r="A7" s="2">
        <v>0.1128</v>
      </c>
      <c r="B7">
        <f t="shared" si="6"/>
        <v>0.5</v>
      </c>
      <c r="C7">
        <v>1.8141000000000001E-4</v>
      </c>
      <c r="D7">
        <v>0.19095899999999999</v>
      </c>
      <c r="E7">
        <v>0.19095899999999999</v>
      </c>
      <c r="F7">
        <v>0.13417799999999999</v>
      </c>
      <c r="G7">
        <f t="shared" si="0"/>
        <v>0.62922509685855699</v>
      </c>
      <c r="H7" s="2">
        <f t="shared" si="1"/>
        <v>0.13632974745551465</v>
      </c>
      <c r="I7" s="2"/>
      <c r="J7" s="2">
        <v>0.1128</v>
      </c>
      <c r="K7">
        <f t="shared" si="7"/>
        <v>0.5</v>
      </c>
      <c r="L7">
        <v>1.11703E-4</v>
      </c>
      <c r="M7">
        <v>0.15864200000000001</v>
      </c>
      <c r="N7">
        <v>0.158641</v>
      </c>
      <c r="O7">
        <v>0.150177</v>
      </c>
      <c r="P7">
        <f t="shared" si="8"/>
        <v>0.602682593893484</v>
      </c>
      <c r="Q7">
        <f t="shared" si="2"/>
        <v>0.11325723043213623</v>
      </c>
      <c r="S7" s="2">
        <v>0.1128</v>
      </c>
      <c r="T7">
        <f t="shared" si="9"/>
        <v>0.5</v>
      </c>
      <c r="U7">
        <v>1.46174E-4</v>
      </c>
      <c r="V7">
        <v>0.15449299999999999</v>
      </c>
      <c r="W7">
        <v>9.2843400000000006E-2</v>
      </c>
      <c r="X7">
        <v>0.15706100000000001</v>
      </c>
      <c r="Y7">
        <f t="shared" si="3"/>
        <v>0.50700815450197179</v>
      </c>
      <c r="Z7">
        <f t="shared" si="10"/>
        <v>0.11029588379518548</v>
      </c>
      <c r="AB7" s="2">
        <v>0.1128</v>
      </c>
      <c r="AC7">
        <f t="shared" si="11"/>
        <v>0.5</v>
      </c>
      <c r="AD7">
        <v>1.06414E-4</v>
      </c>
      <c r="AE7">
        <v>0.18906000000000001</v>
      </c>
      <c r="AF7">
        <v>0.189059</v>
      </c>
      <c r="AG7">
        <v>0.149534</v>
      </c>
      <c r="AH7">
        <f t="shared" si="4"/>
        <v>0.36909960562872213</v>
      </c>
      <c r="AI7">
        <f t="shared" si="5"/>
        <v>0.13497401041029541</v>
      </c>
      <c r="AK7" s="2">
        <v>0.1128</v>
      </c>
      <c r="AL7">
        <f t="shared" si="12"/>
        <v>0.5</v>
      </c>
      <c r="AM7">
        <v>2.8830700000000002E-4</v>
      </c>
      <c r="AN7">
        <v>9.2843400000000006E-2</v>
      </c>
      <c r="AO7">
        <v>9.2842499999999994E-2</v>
      </c>
      <c r="AP7">
        <v>0.11984300000000001</v>
      </c>
      <c r="AQ7">
        <f t="shared" si="13"/>
        <v>6.6282905099583317E-2</v>
      </c>
      <c r="AS7" s="2">
        <v>0.1128</v>
      </c>
      <c r="AT7">
        <f t="shared" si="14"/>
        <v>0.5</v>
      </c>
      <c r="AU7" s="1">
        <v>8.0099999999999995E-5</v>
      </c>
      <c r="AV7">
        <v>0.199764</v>
      </c>
      <c r="AW7">
        <v>0.199762</v>
      </c>
      <c r="AX7">
        <v>0.15570400000000001</v>
      </c>
      <c r="AY7">
        <f t="shared" si="15"/>
        <v>0.27782884217171278</v>
      </c>
      <c r="AZ7">
        <f t="shared" si="16"/>
        <v>0.14261582680420107</v>
      </c>
    </row>
    <row r="8" spans="1:52" ht="15" x14ac:dyDescent="0.35">
      <c r="A8" s="2">
        <v>0.14099999999999999</v>
      </c>
      <c r="B8">
        <f t="shared" si="6"/>
        <v>0.625</v>
      </c>
      <c r="C8">
        <v>1.7165600000000001E-4</v>
      </c>
      <c r="D8">
        <v>0.226575</v>
      </c>
      <c r="E8">
        <v>0.226575</v>
      </c>
      <c r="F8">
        <v>0.159635</v>
      </c>
      <c r="G8">
        <f t="shared" si="0"/>
        <v>0.59539310526626132</v>
      </c>
      <c r="H8" s="2">
        <f t="shared" si="1"/>
        <v>0.16175677778859984</v>
      </c>
      <c r="J8" s="2">
        <v>0.14099999999999999</v>
      </c>
      <c r="K8">
        <f t="shared" si="7"/>
        <v>0.625</v>
      </c>
      <c r="L8">
        <v>1.07087E-4</v>
      </c>
      <c r="M8">
        <v>0.20077500000000001</v>
      </c>
      <c r="N8">
        <v>0.20077300000000001</v>
      </c>
      <c r="O8">
        <v>0.17976500000000001</v>
      </c>
      <c r="P8">
        <f t="shared" si="8"/>
        <v>0.57777741808430849</v>
      </c>
      <c r="Q8">
        <f t="shared" si="2"/>
        <v>0.14333617365971776</v>
      </c>
      <c r="S8" s="2">
        <v>0.14099999999999999</v>
      </c>
      <c r="T8">
        <f t="shared" si="9"/>
        <v>0.625</v>
      </c>
      <c r="U8">
        <v>1.34184E-4</v>
      </c>
      <c r="V8">
        <v>0.19775100000000001</v>
      </c>
      <c r="W8">
        <v>0.13705100000000001</v>
      </c>
      <c r="X8">
        <v>0.18732299999999999</v>
      </c>
      <c r="Y8">
        <f t="shared" si="3"/>
        <v>0.46542054129799137</v>
      </c>
      <c r="Z8">
        <f t="shared" si="10"/>
        <v>0.14117870270097499</v>
      </c>
      <c r="AB8" s="2">
        <v>0.14099999999999999</v>
      </c>
      <c r="AC8">
        <f t="shared" si="11"/>
        <v>0.625</v>
      </c>
      <c r="AD8">
        <v>1.01285E-4</v>
      </c>
      <c r="AE8">
        <v>0.224158</v>
      </c>
      <c r="AF8">
        <v>0.22415599999999999</v>
      </c>
      <c r="AG8">
        <v>0.17882899999999999</v>
      </c>
      <c r="AH8">
        <f t="shared" si="4"/>
        <v>0.35130954156506777</v>
      </c>
      <c r="AI8">
        <f t="shared" si="5"/>
        <v>0.16003122937454248</v>
      </c>
      <c r="AK8" s="2">
        <v>0.14099999999999999</v>
      </c>
      <c r="AL8">
        <f t="shared" si="12"/>
        <v>0.625</v>
      </c>
      <c r="AM8">
        <v>2.8830700000000002E-4</v>
      </c>
      <c r="AN8">
        <v>0.13705100000000001</v>
      </c>
      <c r="AO8">
        <v>0.13705000000000001</v>
      </c>
      <c r="AP8">
        <v>0.136022</v>
      </c>
      <c r="AQ8">
        <f t="shared" si="13"/>
        <v>9.7843663920138574E-2</v>
      </c>
      <c r="AS8" s="2">
        <v>0.14099999999999999</v>
      </c>
      <c r="AT8">
        <f t="shared" si="14"/>
        <v>0.625</v>
      </c>
      <c r="AU8" s="1">
        <v>7.3800000000000005E-5</v>
      </c>
      <c r="AV8">
        <v>0.232764</v>
      </c>
      <c r="AW8">
        <v>0.232762</v>
      </c>
      <c r="AX8">
        <v>0.186363</v>
      </c>
      <c r="AY8">
        <f t="shared" si="15"/>
        <v>0.25597713548404999</v>
      </c>
      <c r="AZ8">
        <f t="shared" si="16"/>
        <v>0.16617523833249764</v>
      </c>
    </row>
    <row r="9" spans="1:52" ht="15" x14ac:dyDescent="0.35">
      <c r="A9" s="2">
        <v>0.16919999999999999</v>
      </c>
      <c r="B9">
        <f t="shared" si="6"/>
        <v>0.75</v>
      </c>
      <c r="C9" s="1">
        <v>1.6799800000000001E-4</v>
      </c>
      <c r="D9">
        <v>0.249308</v>
      </c>
      <c r="E9">
        <v>0.249308</v>
      </c>
      <c r="F9">
        <v>0.190249</v>
      </c>
      <c r="G9">
        <f t="shared" si="0"/>
        <v>0.58270524128793266</v>
      </c>
      <c r="H9" s="2">
        <f t="shared" si="1"/>
        <v>0.17798635664535031</v>
      </c>
      <c r="I9" s="2"/>
      <c r="J9" s="2">
        <v>0.16919999999999999</v>
      </c>
      <c r="K9">
        <f t="shared" si="7"/>
        <v>0.75</v>
      </c>
      <c r="L9">
        <v>1.05241E-4</v>
      </c>
      <c r="M9">
        <v>0.231345</v>
      </c>
      <c r="N9">
        <v>0.23134299999999999</v>
      </c>
      <c r="O9">
        <v>0.21346799999999999</v>
      </c>
      <c r="P9">
        <f t="shared" si="8"/>
        <v>0.56781750592145375</v>
      </c>
      <c r="Q9">
        <f t="shared" si="2"/>
        <v>0.16516075579365794</v>
      </c>
      <c r="S9" s="2">
        <v>0.16919999999999999</v>
      </c>
      <c r="T9">
        <f t="shared" si="9"/>
        <v>0.75</v>
      </c>
      <c r="U9">
        <v>1.2799600000000001E-4</v>
      </c>
      <c r="V9">
        <v>0.22939699999999999</v>
      </c>
      <c r="W9">
        <v>0.179426</v>
      </c>
      <c r="X9">
        <v>0.22114800000000001</v>
      </c>
      <c r="Y9">
        <f t="shared" si="3"/>
        <v>0.44395730939588707</v>
      </c>
      <c r="Z9">
        <f t="shared" si="10"/>
        <v>0.16377146443504992</v>
      </c>
      <c r="AB9" s="2">
        <v>0.16919999999999999</v>
      </c>
      <c r="AC9">
        <f t="shared" si="11"/>
        <v>0.75</v>
      </c>
      <c r="AD9" s="1">
        <v>9.5299999999999999E-5</v>
      </c>
      <c r="AE9">
        <v>0.24637999999999999</v>
      </c>
      <c r="AF9">
        <v>0.24637800000000001</v>
      </c>
      <c r="AG9">
        <v>0.212169</v>
      </c>
      <c r="AH9">
        <f t="shared" si="4"/>
        <v>0.3305504202117881</v>
      </c>
      <c r="AI9">
        <f t="shared" si="5"/>
        <v>0.17589599431338507</v>
      </c>
      <c r="AK9" s="2">
        <v>0.16919999999999999</v>
      </c>
      <c r="AL9">
        <f t="shared" si="12"/>
        <v>0.75</v>
      </c>
      <c r="AM9">
        <v>2.8830700000000002E-4</v>
      </c>
      <c r="AN9">
        <v>0.179426</v>
      </c>
      <c r="AO9">
        <v>0.179424</v>
      </c>
      <c r="AP9">
        <v>0.158385</v>
      </c>
      <c r="AQ9">
        <f t="shared" si="13"/>
        <v>0.12809609008715575</v>
      </c>
      <c r="AS9" s="2">
        <v>0.16919999999999999</v>
      </c>
      <c r="AT9">
        <f t="shared" si="14"/>
        <v>0.75</v>
      </c>
      <c r="AU9" s="1">
        <v>6.9499999999999995E-5</v>
      </c>
      <c r="AV9">
        <v>0.25307800000000003</v>
      </c>
      <c r="AW9">
        <v>0.25307600000000002</v>
      </c>
      <c r="AX9">
        <v>0.220773</v>
      </c>
      <c r="AY9">
        <f t="shared" si="15"/>
        <v>0.24106247853850232</v>
      </c>
      <c r="AZ9">
        <f t="shared" si="16"/>
        <v>0.18067784093206785</v>
      </c>
    </row>
    <row r="10" spans="1:52" ht="15" x14ac:dyDescent="0.35">
      <c r="A10" s="2">
        <v>0.19739999999999999</v>
      </c>
      <c r="B10">
        <f t="shared" si="6"/>
        <v>0.875</v>
      </c>
      <c r="C10" s="1">
        <v>1.6422799999999999E-4</v>
      </c>
      <c r="D10">
        <v>0.26011299999999998</v>
      </c>
      <c r="E10">
        <v>0.26011299999999998</v>
      </c>
      <c r="F10">
        <v>0.224327</v>
      </c>
      <c r="G10" s="1">
        <f>C10/0.000288307</f>
        <v>0.56962890252404552</v>
      </c>
      <c r="H10" s="2">
        <f t="shared" si="1"/>
        <v>0.18570027911696377</v>
      </c>
      <c r="I10" s="2"/>
      <c r="J10" s="2">
        <v>0.19739999999999999</v>
      </c>
      <c r="K10">
        <f t="shared" si="7"/>
        <v>0.875</v>
      </c>
      <c r="L10">
        <v>1.05005E-4</v>
      </c>
      <c r="M10">
        <v>0.25015399999999999</v>
      </c>
      <c r="N10">
        <v>0.25015199999999999</v>
      </c>
      <c r="O10">
        <v>0.24951000000000001</v>
      </c>
      <c r="P10">
        <f t="shared" si="8"/>
        <v>0.56654419104039533</v>
      </c>
      <c r="Q10">
        <f t="shared" si="2"/>
        <v>0.17858890644322553</v>
      </c>
      <c r="S10" s="2">
        <v>0.19739999999999999</v>
      </c>
      <c r="T10">
        <f t="shared" si="9"/>
        <v>0.875</v>
      </c>
      <c r="U10">
        <v>1.2583599999999999E-4</v>
      </c>
      <c r="V10">
        <v>0.24825</v>
      </c>
      <c r="W10">
        <v>0.21448400000000001</v>
      </c>
      <c r="X10">
        <v>0.25679400000000002</v>
      </c>
      <c r="Y10">
        <f t="shared" si="3"/>
        <v>0.43646529567440256</v>
      </c>
      <c r="Z10">
        <f t="shared" si="10"/>
        <v>0.17723102763332188</v>
      </c>
      <c r="AB10" s="2">
        <v>0.19739999999999999</v>
      </c>
      <c r="AC10">
        <f t="shared" si="11"/>
        <v>0.875</v>
      </c>
      <c r="AD10" s="1">
        <v>9.5874399999999998E-5</v>
      </c>
      <c r="AE10">
        <v>0.25626700000000002</v>
      </c>
      <c r="AF10">
        <v>0.25626500000000002</v>
      </c>
      <c r="AG10">
        <v>0.24774199999999999</v>
      </c>
      <c r="AH10">
        <f t="shared" si="4"/>
        <v>0.33254274089772357</v>
      </c>
      <c r="AI10">
        <f t="shared" si="5"/>
        <v>0.18295453679157506</v>
      </c>
      <c r="AK10" s="2">
        <v>0.19739999999999999</v>
      </c>
      <c r="AL10">
        <f t="shared" si="12"/>
        <v>0.875</v>
      </c>
      <c r="AM10">
        <v>2.8830700000000002E-4</v>
      </c>
      <c r="AN10">
        <v>0.21448400000000001</v>
      </c>
      <c r="AO10">
        <v>0.21448200000000001</v>
      </c>
      <c r="AP10">
        <v>0.18626400000000001</v>
      </c>
      <c r="AQ10">
        <f t="shared" si="13"/>
        <v>0.15312475218894428</v>
      </c>
      <c r="AS10" s="2">
        <v>0.19739999999999999</v>
      </c>
      <c r="AT10">
        <f t="shared" si="14"/>
        <v>0.875</v>
      </c>
      <c r="AU10" s="1">
        <v>6.7899999999999997E-5</v>
      </c>
      <c r="AV10">
        <v>0.26237500000000002</v>
      </c>
      <c r="AW10">
        <v>0.26237199999999999</v>
      </c>
      <c r="AX10">
        <v>0.25723099999999999</v>
      </c>
      <c r="AY10">
        <f t="shared" si="15"/>
        <v>0.23551283874481019</v>
      </c>
      <c r="AZ10">
        <f t="shared" si="16"/>
        <v>0.18731516968899431</v>
      </c>
    </row>
    <row r="11" spans="1:52" ht="15" x14ac:dyDescent="0.35">
      <c r="A11" s="2">
        <v>0.22559999999999999</v>
      </c>
      <c r="B11">
        <f t="shared" si="6"/>
        <v>1</v>
      </c>
      <c r="C11" s="1">
        <v>1.64938E-4</v>
      </c>
      <c r="D11">
        <v>0.26142100000000001</v>
      </c>
      <c r="E11">
        <v>0.26142100000000001</v>
      </c>
      <c r="F11">
        <v>0.26029400000000003</v>
      </c>
      <c r="G11">
        <f t="shared" si="0"/>
        <v>0.57209155518249644</v>
      </c>
      <c r="H11" s="2">
        <f t="shared" si="1"/>
        <v>0.18663408851935809</v>
      </c>
      <c r="I11" s="2"/>
      <c r="J11" s="2">
        <v>0.22559999999999999</v>
      </c>
      <c r="K11">
        <f t="shared" si="7"/>
        <v>1</v>
      </c>
      <c r="L11">
        <v>1.0679300000000001E-4</v>
      </c>
      <c r="M11">
        <v>0.25839000000000001</v>
      </c>
      <c r="N11">
        <v>0.25838800000000001</v>
      </c>
      <c r="O11">
        <v>0.286383</v>
      </c>
      <c r="P11">
        <f t="shared" si="8"/>
        <v>0.57619116988502395</v>
      </c>
      <c r="Q11">
        <f t="shared" si="2"/>
        <v>0.18446876442343918</v>
      </c>
      <c r="S11" s="2">
        <v>0.22559999999999999</v>
      </c>
      <c r="T11">
        <f t="shared" si="9"/>
        <v>1</v>
      </c>
      <c r="U11">
        <v>1.2649300000000001E-4</v>
      </c>
      <c r="V11">
        <v>0.255577</v>
      </c>
      <c r="W11">
        <v>0.23993700000000001</v>
      </c>
      <c r="X11">
        <v>0.29279300000000003</v>
      </c>
      <c r="Y11">
        <f t="shared" si="3"/>
        <v>0.43874411651468748</v>
      </c>
      <c r="Z11">
        <f t="shared" si="10"/>
        <v>0.18246193091416518</v>
      </c>
      <c r="AB11" s="2">
        <v>0.22559999999999999</v>
      </c>
      <c r="AC11">
        <f t="shared" si="11"/>
        <v>1</v>
      </c>
      <c r="AD11" s="1">
        <v>9.7499999999999998E-5</v>
      </c>
      <c r="AE11">
        <v>0.25678600000000001</v>
      </c>
      <c r="AF11">
        <v>0.25678499999999999</v>
      </c>
      <c r="AG11">
        <v>0.28401700000000002</v>
      </c>
      <c r="AH11">
        <f t="shared" si="4"/>
        <v>0.33818117492811478</v>
      </c>
      <c r="AI11">
        <f t="shared" si="5"/>
        <v>0.1833250620819746</v>
      </c>
      <c r="AK11" s="2">
        <v>0.22559999999999999</v>
      </c>
      <c r="AL11">
        <f t="shared" si="12"/>
        <v>1</v>
      </c>
      <c r="AM11">
        <v>2.8830700000000002E-4</v>
      </c>
      <c r="AN11">
        <v>0.23993700000000001</v>
      </c>
      <c r="AO11">
        <v>0.23993500000000001</v>
      </c>
      <c r="AP11">
        <v>0.21843299999999999</v>
      </c>
      <c r="AQ11">
        <f t="shared" si="13"/>
        <v>0.17129619769287555</v>
      </c>
      <c r="AS11" s="2">
        <v>0.22559999999999999</v>
      </c>
      <c r="AT11">
        <f t="shared" si="14"/>
        <v>1</v>
      </c>
      <c r="AU11" s="1">
        <v>6.7100000000000005E-5</v>
      </c>
      <c r="AV11">
        <v>0.26401799999999997</v>
      </c>
      <c r="AW11">
        <v>0.264015</v>
      </c>
      <c r="AX11">
        <v>0.29441800000000001</v>
      </c>
      <c r="AY11">
        <f t="shared" si="15"/>
        <v>0.23273801884796416</v>
      </c>
      <c r="AZ11">
        <f t="shared" si="16"/>
        <v>0.18848814281447884</v>
      </c>
    </row>
    <row r="12" spans="1:52" ht="15" x14ac:dyDescent="0.35">
      <c r="A12" s="2">
        <v>0.25379999999999997</v>
      </c>
      <c r="B12">
        <f t="shared" si="6"/>
        <v>1.125</v>
      </c>
      <c r="C12" s="1">
        <v>1.6541700000000001E-4</v>
      </c>
      <c r="D12">
        <v>0.25685999999999998</v>
      </c>
      <c r="E12">
        <v>0.25685999999999998</v>
      </c>
      <c r="F12">
        <v>0.29681299999999999</v>
      </c>
      <c r="G12">
        <f t="shared" si="0"/>
        <v>0.57375297859573304</v>
      </c>
      <c r="H12" s="2">
        <f t="shared" si="1"/>
        <v>0.18337789227752288</v>
      </c>
      <c r="J12" s="2">
        <v>0.25379999999999997</v>
      </c>
      <c r="K12">
        <f t="shared" si="7"/>
        <v>1.125</v>
      </c>
      <c r="L12">
        <v>1.0717600000000001E-4</v>
      </c>
      <c r="M12">
        <v>0.25840800000000003</v>
      </c>
      <c r="N12">
        <v>0.25840600000000002</v>
      </c>
      <c r="O12">
        <v>0.32299</v>
      </c>
      <c r="P12">
        <f t="shared" si="8"/>
        <v>0.57825760886572464</v>
      </c>
      <c r="Q12">
        <f t="shared" si="2"/>
        <v>0.18448161501154556</v>
      </c>
      <c r="S12" s="2">
        <v>0.25379999999999997</v>
      </c>
      <c r="T12">
        <f t="shared" si="9"/>
        <v>1.125</v>
      </c>
      <c r="U12">
        <v>1.3054700000000001E-4</v>
      </c>
      <c r="V12">
        <v>0.25373899999999999</v>
      </c>
      <c r="W12">
        <v>0.25483099999999997</v>
      </c>
      <c r="X12">
        <v>0.3281</v>
      </c>
      <c r="Y12">
        <f t="shared" si="3"/>
        <v>0.45280551634195493</v>
      </c>
      <c r="Z12">
        <f t="shared" si="10"/>
        <v>0.18114974308419521</v>
      </c>
      <c r="AB12" s="2">
        <v>0.25379999999999997</v>
      </c>
      <c r="AC12">
        <f t="shared" si="11"/>
        <v>1.125</v>
      </c>
      <c r="AD12" s="1">
        <v>9.8099999999999999E-5</v>
      </c>
      <c r="AE12">
        <v>0.25125799999999998</v>
      </c>
      <c r="AF12">
        <v>0.25125599999999998</v>
      </c>
      <c r="AG12">
        <v>0.31989299999999998</v>
      </c>
      <c r="AH12">
        <f t="shared" si="4"/>
        <v>0.34026228985074936</v>
      </c>
      <c r="AI12">
        <f t="shared" si="5"/>
        <v>0.17937850369020419</v>
      </c>
      <c r="AK12" s="2">
        <v>0.25379999999999997</v>
      </c>
      <c r="AL12">
        <f t="shared" si="12"/>
        <v>1.125</v>
      </c>
      <c r="AM12">
        <v>2.8830700000000002E-4</v>
      </c>
      <c r="AN12">
        <v>0.24831</v>
      </c>
      <c r="AO12">
        <v>0.25482900000000003</v>
      </c>
      <c r="AP12">
        <v>0.25343100000000002</v>
      </c>
      <c r="AQ12">
        <f t="shared" si="13"/>
        <v>0.1772738629270097</v>
      </c>
      <c r="AS12" s="2">
        <v>0.25379999999999997</v>
      </c>
      <c r="AT12">
        <f t="shared" si="14"/>
        <v>1.125</v>
      </c>
      <c r="AU12" s="1">
        <v>6.5699999999999998E-5</v>
      </c>
      <c r="AV12">
        <v>0.26188</v>
      </c>
      <c r="AW12">
        <v>0.26187700000000003</v>
      </c>
      <c r="AX12">
        <v>0.33152700000000002</v>
      </c>
      <c r="AY12">
        <f t="shared" si="15"/>
        <v>0.22788208402848351</v>
      </c>
      <c r="AZ12">
        <f t="shared" si="16"/>
        <v>0.18696177851606985</v>
      </c>
    </row>
    <row r="13" spans="1:52" ht="15" x14ac:dyDescent="0.35">
      <c r="A13" s="2">
        <v>0.28199999999999997</v>
      </c>
      <c r="B13">
        <f t="shared" si="6"/>
        <v>1.25</v>
      </c>
      <c r="C13">
        <v>1.6736600000000001E-4</v>
      </c>
      <c r="D13">
        <v>0.24968099999999999</v>
      </c>
      <c r="E13">
        <v>0.24968099999999999</v>
      </c>
      <c r="F13">
        <v>0.33291500000000002</v>
      </c>
      <c r="G13">
        <f t="shared" si="0"/>
        <v>0.58051313356942424</v>
      </c>
      <c r="H13" s="2">
        <f t="shared" si="1"/>
        <v>0.17825264938777621</v>
      </c>
      <c r="I13" s="2"/>
      <c r="J13" s="2">
        <v>0.28199999999999997</v>
      </c>
      <c r="K13">
        <f t="shared" si="7"/>
        <v>1.25</v>
      </c>
      <c r="L13">
        <v>1.0776399999999999E-4</v>
      </c>
      <c r="M13">
        <v>0.25295600000000001</v>
      </c>
      <c r="N13">
        <v>0.25295400000000001</v>
      </c>
      <c r="O13">
        <v>0.358713</v>
      </c>
      <c r="P13">
        <f t="shared" si="8"/>
        <v>0.58143010526429373</v>
      </c>
      <c r="Q13">
        <f t="shared" si="2"/>
        <v>0.18058931465844635</v>
      </c>
      <c r="S13" s="2">
        <v>0.28199999999999997</v>
      </c>
      <c r="T13">
        <f t="shared" si="9"/>
        <v>1.25</v>
      </c>
      <c r="U13">
        <v>1.3147699999999999E-4</v>
      </c>
      <c r="V13">
        <v>0.25997399999999998</v>
      </c>
      <c r="W13">
        <v>0.25997399999999998</v>
      </c>
      <c r="X13">
        <v>0.36216199999999998</v>
      </c>
      <c r="Y13">
        <f t="shared" si="3"/>
        <v>0.45603124447203841</v>
      </c>
      <c r="Z13">
        <f>V13/1.40071410359145</f>
        <v>0.18560104401992034</v>
      </c>
      <c r="AB13" s="2">
        <v>0.28199999999999997</v>
      </c>
      <c r="AC13">
        <f t="shared" si="11"/>
        <v>1.25</v>
      </c>
      <c r="AD13">
        <v>1.00101E-4</v>
      </c>
      <c r="AE13">
        <v>0.24355299999999999</v>
      </c>
      <c r="AF13">
        <v>0.24355099999999999</v>
      </c>
      <c r="AG13">
        <v>0.35478100000000001</v>
      </c>
      <c r="AH13">
        <f t="shared" si="4"/>
        <v>0.34720280811773557</v>
      </c>
      <c r="AI13">
        <f t="shared" si="5"/>
        <v>0.17387773805912768</v>
      </c>
      <c r="AK13" s="2">
        <v>0.28199999999999997</v>
      </c>
      <c r="AL13">
        <f t="shared" si="12"/>
        <v>1.25</v>
      </c>
      <c r="AM13">
        <v>2.8830700000000002E-4</v>
      </c>
      <c r="AN13">
        <v>0.2396949974</v>
      </c>
      <c r="AO13">
        <v>0.25997199999999998</v>
      </c>
      <c r="AP13">
        <v>0.28982400000000003</v>
      </c>
      <c r="AQ13">
        <f t="shared" si="13"/>
        <v>0.17112342681880532</v>
      </c>
      <c r="AS13" s="2">
        <v>0.28199999999999997</v>
      </c>
      <c r="AT13">
        <f t="shared" si="14"/>
        <v>1.25</v>
      </c>
      <c r="AU13" s="1">
        <v>6.3100000000000002E-5</v>
      </c>
      <c r="AV13">
        <v>0.260382</v>
      </c>
      <c r="AW13">
        <v>0.26037900000000003</v>
      </c>
      <c r="AX13">
        <v>0.36833100000000002</v>
      </c>
      <c r="AY13">
        <f t="shared" si="15"/>
        <v>0.21886391936373378</v>
      </c>
      <c r="AZ13">
        <f t="shared" si="16"/>
        <v>0.18589232401699748</v>
      </c>
    </row>
    <row r="14" spans="1:52" ht="15" x14ac:dyDescent="0.35">
      <c r="A14" s="2">
        <v>0.31019999999999998</v>
      </c>
      <c r="B14">
        <f t="shared" si="6"/>
        <v>1.375</v>
      </c>
      <c r="C14">
        <v>1.69285E-4</v>
      </c>
      <c r="D14">
        <v>0.24374199999999999</v>
      </c>
      <c r="E14">
        <v>0.24374199999999999</v>
      </c>
      <c r="F14">
        <v>0.36805100000000002</v>
      </c>
      <c r="G14">
        <f t="shared" si="0"/>
        <v>0.58716923279698374</v>
      </c>
      <c r="H14" s="2">
        <f t="shared" si="1"/>
        <v>0.17401266923424427</v>
      </c>
      <c r="I14" s="2"/>
      <c r="J14" s="2">
        <v>0.31019999999999998</v>
      </c>
      <c r="K14">
        <f t="shared" si="7"/>
        <v>1.375</v>
      </c>
      <c r="L14">
        <v>1.08719E-4</v>
      </c>
      <c r="M14">
        <v>0.245283</v>
      </c>
      <c r="N14">
        <v>0.245281</v>
      </c>
      <c r="O14">
        <v>0.39347799999999999</v>
      </c>
      <c r="P14">
        <f t="shared" si="8"/>
        <v>0.58658271421094943</v>
      </c>
      <c r="Q14">
        <f t="shared" si="2"/>
        <v>0.17511139451733668</v>
      </c>
      <c r="S14" s="2">
        <v>0.31019999999999998</v>
      </c>
      <c r="T14">
        <f t="shared" si="9"/>
        <v>1.375</v>
      </c>
      <c r="U14">
        <v>1.3457000000000001E-4</v>
      </c>
      <c r="V14">
        <v>0.25892799999999999</v>
      </c>
      <c r="W14">
        <v>0.25892799999999999</v>
      </c>
      <c r="X14">
        <v>0.39493</v>
      </c>
      <c r="Y14">
        <f t="shared" si="3"/>
        <v>0.46675939189821963</v>
      </c>
      <c r="Z14">
        <f t="shared" ref="Z14:Z29" si="17">V14/1.40071410359145</f>
        <v>0.18485428206662949</v>
      </c>
      <c r="AB14" s="2">
        <v>0.31019999999999998</v>
      </c>
      <c r="AC14">
        <f t="shared" si="11"/>
        <v>1.375</v>
      </c>
      <c r="AD14">
        <v>1.00917E-4</v>
      </c>
      <c r="AE14">
        <v>0.23791300000000001</v>
      </c>
      <c r="AF14">
        <v>0.23791200000000001</v>
      </c>
      <c r="AG14">
        <v>0.38868799999999998</v>
      </c>
      <c r="AH14">
        <f t="shared" si="4"/>
        <v>0.35003312441251855</v>
      </c>
      <c r="AI14">
        <f t="shared" si="5"/>
        <v>0.16985122045247336</v>
      </c>
      <c r="AK14" s="2">
        <v>0.31019999999999998</v>
      </c>
      <c r="AL14">
        <f t="shared" si="12"/>
        <v>1.375</v>
      </c>
      <c r="AM14">
        <v>2.8830700000000002E-4</v>
      </c>
      <c r="AN14">
        <v>0.236708</v>
      </c>
      <c r="AO14">
        <v>0.25892599999999999</v>
      </c>
      <c r="AP14">
        <v>0.32646500000000001</v>
      </c>
      <c r="AQ14">
        <f t="shared" ref="AQ14:AQ26" si="18">AN14/1.40071410359145</f>
        <v>0.1689909449709098</v>
      </c>
      <c r="AS14" s="2">
        <v>0.31019999999999998</v>
      </c>
      <c r="AT14">
        <f t="shared" si="14"/>
        <v>1.375</v>
      </c>
      <c r="AU14" s="1">
        <v>6.02E-5</v>
      </c>
      <c r="AV14">
        <v>0.26266800000000001</v>
      </c>
      <c r="AW14">
        <v>0.26266400000000001</v>
      </c>
      <c r="AX14">
        <v>0.40517300000000001</v>
      </c>
      <c r="AY14">
        <f t="shared" si="15"/>
        <v>0.20880519723766677</v>
      </c>
      <c r="AZ14">
        <f t="shared" si="16"/>
        <v>0.18752434870650311</v>
      </c>
    </row>
    <row r="15" spans="1:52" ht="15" x14ac:dyDescent="0.35">
      <c r="A15" s="2">
        <v>0.33839999999999998</v>
      </c>
      <c r="B15">
        <f t="shared" si="6"/>
        <v>1.5</v>
      </c>
      <c r="C15">
        <v>1.7089000000000001E-4</v>
      </c>
      <c r="D15">
        <v>0.23990700000000001</v>
      </c>
      <c r="E15">
        <v>0.23990700000000001</v>
      </c>
      <c r="F15">
        <v>0.40215400000000001</v>
      </c>
      <c r="G15">
        <f t="shared" si="0"/>
        <v>0.59273621521503117</v>
      </c>
      <c r="H15" s="2">
        <f t="shared" si="1"/>
        <v>0.17127478004603164</v>
      </c>
      <c r="I15" s="2"/>
      <c r="J15" s="2">
        <v>0.33839999999999998</v>
      </c>
      <c r="K15">
        <f t="shared" si="7"/>
        <v>1.5</v>
      </c>
      <c r="L15">
        <v>1.0910064E-4</v>
      </c>
      <c r="M15">
        <v>0.238763</v>
      </c>
      <c r="N15">
        <v>0.238761</v>
      </c>
      <c r="O15">
        <v>0.42756499999999997</v>
      </c>
      <c r="P15">
        <f t="shared" si="8"/>
        <v>0.58864181544487781</v>
      </c>
      <c r="Q15">
        <f t="shared" si="2"/>
        <v>0.17045662593659444</v>
      </c>
      <c r="S15" s="2">
        <v>0.33839999999999998</v>
      </c>
      <c r="T15">
        <f t="shared" si="9"/>
        <v>1.5</v>
      </c>
      <c r="U15">
        <v>1.37219E-4</v>
      </c>
      <c r="V15">
        <v>0.25439800000000001</v>
      </c>
      <c r="W15">
        <v>0.25439800000000001</v>
      </c>
      <c r="X15">
        <v>0.42671399999999998</v>
      </c>
      <c r="Y15">
        <f t="shared" si="3"/>
        <v>0.47594751428165116</v>
      </c>
      <c r="Z15">
        <f t="shared" si="17"/>
        <v>0.1816202173931997</v>
      </c>
      <c r="AB15" s="2">
        <v>0.33839999999999998</v>
      </c>
      <c r="AC15">
        <f t="shared" si="11"/>
        <v>1.5</v>
      </c>
      <c r="AD15">
        <v>1.0093400000000001E-4</v>
      </c>
      <c r="AE15">
        <v>0.23547399999999999</v>
      </c>
      <c r="AF15">
        <v>0.23547299999999999</v>
      </c>
      <c r="AG15">
        <v>0.42203800000000002</v>
      </c>
      <c r="AH15">
        <f t="shared" si="4"/>
        <v>0.3500920893353266</v>
      </c>
      <c r="AI15">
        <f t="shared" si="5"/>
        <v>0.16810996576406378</v>
      </c>
      <c r="AK15" s="2">
        <v>0.33839999999999998</v>
      </c>
      <c r="AL15">
        <f t="shared" si="12"/>
        <v>1.5</v>
      </c>
      <c r="AM15">
        <v>2.8830700000000002E-4</v>
      </c>
      <c r="AN15">
        <v>0.22848099999999999</v>
      </c>
      <c r="AO15">
        <v>0.25439600000000001</v>
      </c>
      <c r="AP15">
        <v>0.36269000000000001</v>
      </c>
      <c r="AQ15">
        <f t="shared" si="18"/>
        <v>0.16311751228474933</v>
      </c>
      <c r="AS15" s="2">
        <v>0.33839999999999998</v>
      </c>
      <c r="AT15">
        <f t="shared" si="14"/>
        <v>1.5</v>
      </c>
      <c r="AU15" s="1">
        <v>5.7599999999999997E-5</v>
      </c>
      <c r="AV15">
        <v>0.267847</v>
      </c>
      <c r="AW15">
        <v>0.26784200000000002</v>
      </c>
      <c r="AX15">
        <v>0.44258700000000001</v>
      </c>
      <c r="AY15">
        <f t="shared" si="15"/>
        <v>0.19978703257291705</v>
      </c>
      <c r="AZ15">
        <f t="shared" si="16"/>
        <v>0.19122174847332274</v>
      </c>
    </row>
    <row r="16" spans="1:52" ht="15" x14ac:dyDescent="0.35">
      <c r="A16" s="2">
        <v>0.36659999999999998</v>
      </c>
      <c r="B16">
        <f t="shared" si="6"/>
        <v>1.625</v>
      </c>
      <c r="C16">
        <v>1.7193500000000001E-4</v>
      </c>
      <c r="D16">
        <v>0.23778299999999999</v>
      </c>
      <c r="E16">
        <v>0.23778299999999999</v>
      </c>
      <c r="F16">
        <v>0.435506</v>
      </c>
      <c r="G16">
        <f t="shared" si="0"/>
        <v>0.59636082370528642</v>
      </c>
      <c r="H16" s="2">
        <f t="shared" si="1"/>
        <v>0.1697584106494831</v>
      </c>
      <c r="I16" s="2"/>
      <c r="J16" s="2">
        <v>0.36659999999999998</v>
      </c>
      <c r="K16">
        <f t="shared" si="7"/>
        <v>1.625</v>
      </c>
      <c r="L16">
        <v>1.09447E-4</v>
      </c>
      <c r="M16">
        <v>0.23460800000000001</v>
      </c>
      <c r="N16">
        <v>0.23460600000000001</v>
      </c>
      <c r="O16">
        <v>0.46124199999999999</v>
      </c>
      <c r="P16">
        <f t="shared" si="8"/>
        <v>0.59051056689489212</v>
      </c>
      <c r="Q16">
        <f t="shared" si="2"/>
        <v>0.16749028184871348</v>
      </c>
      <c r="S16" s="2">
        <v>0.36659999999999998</v>
      </c>
      <c r="T16">
        <f t="shared" si="9"/>
        <v>1.625</v>
      </c>
      <c r="U16">
        <v>1.3962100000000001E-4</v>
      </c>
      <c r="V16">
        <v>0.248643</v>
      </c>
      <c r="W16">
        <v>0.248643</v>
      </c>
      <c r="X16">
        <v>0.45775300000000002</v>
      </c>
      <c r="Y16">
        <f t="shared" si="3"/>
        <v>0.48427891102193149</v>
      </c>
      <c r="Z16">
        <f t="shared" si="17"/>
        <v>0.17751159880697706</v>
      </c>
      <c r="AB16" s="2">
        <v>0.36659999999999998</v>
      </c>
      <c r="AC16">
        <f t="shared" si="11"/>
        <v>1.625</v>
      </c>
      <c r="AD16">
        <v>1.0060000000000001E-4</v>
      </c>
      <c r="AE16">
        <v>0.235093</v>
      </c>
      <c r="AF16">
        <v>0.235092</v>
      </c>
      <c r="AG16">
        <v>0.45519700000000002</v>
      </c>
      <c r="AH16">
        <f t="shared" si="4"/>
        <v>0.34893360202839335</v>
      </c>
      <c r="AI16">
        <f t="shared" si="5"/>
        <v>0.16783796164914619</v>
      </c>
      <c r="AK16" s="2">
        <v>0.36659999999999998</v>
      </c>
      <c r="AL16">
        <f t="shared" si="12"/>
        <v>1.625</v>
      </c>
      <c r="AM16">
        <v>2.8830700000000002E-4</v>
      </c>
      <c r="AN16">
        <v>0.22256999999999999</v>
      </c>
      <c r="AO16">
        <v>0.248641</v>
      </c>
      <c r="AP16">
        <v>0.39816200000000002</v>
      </c>
      <c r="AQ16">
        <f t="shared" si="18"/>
        <v>0.15889752193493839</v>
      </c>
      <c r="AS16" s="2">
        <v>0.36659999999999998</v>
      </c>
      <c r="AT16">
        <f t="shared" si="14"/>
        <v>1.625</v>
      </c>
      <c r="AU16" s="1">
        <v>5.5099999999999998E-5</v>
      </c>
      <c r="AV16">
        <v>0.27324999999999999</v>
      </c>
      <c r="AW16">
        <v>0.27324500000000002</v>
      </c>
      <c r="AX16">
        <v>0.48076400000000002</v>
      </c>
      <c r="AY16">
        <f t="shared" si="15"/>
        <v>0.19111572039527308</v>
      </c>
      <c r="AZ16">
        <f t="shared" si="16"/>
        <v>0.19507906666991021</v>
      </c>
    </row>
    <row r="17" spans="1:52" ht="15" x14ac:dyDescent="0.35">
      <c r="A17" s="2">
        <v>0.39479999999999998</v>
      </c>
      <c r="B17">
        <f t="shared" si="6"/>
        <v>1.75</v>
      </c>
      <c r="C17" s="1">
        <v>1.7253200000000001E-4</v>
      </c>
      <c r="D17">
        <v>0.236677</v>
      </c>
      <c r="E17">
        <v>0.236677</v>
      </c>
      <c r="F17">
        <v>0.46840500000000002</v>
      </c>
      <c r="G17">
        <f t="shared" si="0"/>
        <v>0.59843153305330776</v>
      </c>
      <c r="H17" s="2">
        <f t="shared" si="1"/>
        <v>0.16896881340250444</v>
      </c>
      <c r="I17" s="2"/>
      <c r="J17" s="2">
        <v>0.39479999999999998</v>
      </c>
      <c r="K17">
        <f t="shared" si="7"/>
        <v>1.75</v>
      </c>
      <c r="L17">
        <v>1.09683E-4</v>
      </c>
      <c r="M17">
        <v>0.23222999999999999</v>
      </c>
      <c r="N17">
        <v>0.23222899999999999</v>
      </c>
      <c r="O17">
        <v>0.49468499999999999</v>
      </c>
      <c r="P17">
        <f t="shared" si="8"/>
        <v>0.59178388177595054</v>
      </c>
      <c r="Q17">
        <f t="shared" si="2"/>
        <v>0.16579329029711465</v>
      </c>
      <c r="S17" s="2">
        <v>0.39479999999999998</v>
      </c>
      <c r="T17">
        <f t="shared" si="9"/>
        <v>1.75</v>
      </c>
      <c r="U17">
        <v>1.4233799999999999E-4</v>
      </c>
      <c r="V17">
        <v>0.24338699999999999</v>
      </c>
      <c r="W17">
        <v>0.24338699999999999</v>
      </c>
      <c r="X17">
        <v>0.48816599999999999</v>
      </c>
      <c r="Y17">
        <f t="shared" si="3"/>
        <v>0.49370289309659487</v>
      </c>
      <c r="Z17">
        <f t="shared" si="17"/>
        <v>0.17375922707992472</v>
      </c>
      <c r="AB17" s="2">
        <v>0.39479999999999998</v>
      </c>
      <c r="AC17">
        <f t="shared" si="11"/>
        <v>1.75</v>
      </c>
      <c r="AD17" s="1">
        <v>9.7999999999999997E-5</v>
      </c>
      <c r="AE17">
        <v>0.23696900000000001</v>
      </c>
      <c r="AF17">
        <v>0.23696800000000001</v>
      </c>
      <c r="AG17">
        <v>0.48846400000000001</v>
      </c>
      <c r="AH17">
        <f t="shared" si="4"/>
        <v>0.3399154373636436</v>
      </c>
      <c r="AI17">
        <f t="shared" si="5"/>
        <v>0.16917727849845179</v>
      </c>
      <c r="AK17" s="2">
        <v>0.39479999999999998</v>
      </c>
      <c r="AL17">
        <f t="shared" si="12"/>
        <v>1.75</v>
      </c>
      <c r="AM17">
        <v>2.8830700000000002E-4</v>
      </c>
      <c r="AN17">
        <v>0.217727</v>
      </c>
      <c r="AO17">
        <v>0.24338599999999999</v>
      </c>
      <c r="AP17">
        <v>0.43283300000000002</v>
      </c>
      <c r="AQ17">
        <f t="shared" si="18"/>
        <v>0.15543999981277051</v>
      </c>
      <c r="AS17" s="2">
        <v>0.39479999999999998</v>
      </c>
      <c r="AT17">
        <f t="shared" si="14"/>
        <v>1.75</v>
      </c>
      <c r="AU17" s="1">
        <v>5.5000000000000002E-5</v>
      </c>
      <c r="AV17">
        <v>0.276918</v>
      </c>
      <c r="AW17">
        <v>0.27691199999999999</v>
      </c>
      <c r="AX17">
        <v>0.51958899999999997</v>
      </c>
      <c r="AY17">
        <f t="shared" si="15"/>
        <v>0.19076886790816733</v>
      </c>
      <c r="AZ17">
        <f t="shared" si="16"/>
        <v>0.19769773095735843</v>
      </c>
    </row>
    <row r="18" spans="1:52" ht="15" x14ac:dyDescent="0.35">
      <c r="A18" s="2">
        <v>0.42299999999999999</v>
      </c>
      <c r="B18">
        <f t="shared" si="6"/>
        <v>1.875</v>
      </c>
      <c r="C18" s="1">
        <v>1.7279400000000001E-4</v>
      </c>
      <c r="D18">
        <v>0.23647499999999999</v>
      </c>
      <c r="E18">
        <v>0.23647499999999999</v>
      </c>
      <c r="F18">
        <v>0.50105699999999997</v>
      </c>
      <c r="G18">
        <f t="shared" si="0"/>
        <v>0.59934028656952487</v>
      </c>
      <c r="H18" s="2">
        <f t="shared" si="1"/>
        <v>0.16882460124708878</v>
      </c>
      <c r="I18" s="2"/>
      <c r="J18" s="2">
        <v>0.42299999999999999</v>
      </c>
      <c r="K18">
        <f t="shared" si="7"/>
        <v>1.875</v>
      </c>
      <c r="L18">
        <v>1.09684E-4</v>
      </c>
      <c r="M18">
        <v>0.23103099999999999</v>
      </c>
      <c r="N18">
        <v>0.23103000000000001</v>
      </c>
      <c r="O18">
        <v>0.52803800000000001</v>
      </c>
      <c r="P18">
        <f t="shared" si="8"/>
        <v>0.5917892771779889</v>
      </c>
      <c r="Q18">
        <f t="shared" si="2"/>
        <v>0.16493729834491988</v>
      </c>
      <c r="S18" s="2">
        <v>0.42299999999999999</v>
      </c>
      <c r="T18">
        <f t="shared" si="9"/>
        <v>1.875</v>
      </c>
      <c r="U18">
        <v>1.4306E-4</v>
      </c>
      <c r="V18">
        <v>0.24011199999999999</v>
      </c>
      <c r="W18">
        <v>0.24011199999999999</v>
      </c>
      <c r="X18">
        <v>0.51806799999999997</v>
      </c>
      <c r="Y18">
        <f t="shared" si="3"/>
        <v>0.49620716805349852</v>
      </c>
      <c r="Z18">
        <f t="shared" si="17"/>
        <v>0.17142113396613165</v>
      </c>
      <c r="AB18" s="2">
        <v>0.42299999999999999</v>
      </c>
      <c r="AC18">
        <f t="shared" si="11"/>
        <v>1.875</v>
      </c>
      <c r="AD18" s="1">
        <v>9.5799999999999998E-5</v>
      </c>
      <c r="AE18">
        <v>0.24069399999999999</v>
      </c>
      <c r="AF18">
        <v>0.24069199999999999</v>
      </c>
      <c r="AG18">
        <v>0.52212400000000003</v>
      </c>
      <c r="AH18">
        <f t="shared" si="4"/>
        <v>0.33228468264731692</v>
      </c>
      <c r="AI18">
        <f t="shared" si="5"/>
        <v>0.17183663631490345</v>
      </c>
      <c r="AK18" s="2">
        <v>0.42299999999999999</v>
      </c>
      <c r="AL18">
        <f t="shared" si="12"/>
        <v>1.875</v>
      </c>
      <c r="AM18">
        <v>2.8830700000000002E-4</v>
      </c>
      <c r="AN18">
        <v>0.21373800000000001</v>
      </c>
      <c r="AO18">
        <v>0.24011099999999999</v>
      </c>
      <c r="AP18">
        <v>0.46690100000000001</v>
      </c>
      <c r="AQ18">
        <f t="shared" si="18"/>
        <v>0.15259216670409248</v>
      </c>
      <c r="AS18" s="2">
        <v>0.42299999999999999</v>
      </c>
      <c r="AT18">
        <f t="shared" si="14"/>
        <v>1.875</v>
      </c>
      <c r="AU18" s="1">
        <v>5.5699999999999999E-5</v>
      </c>
      <c r="AV18">
        <v>0.27812500000000001</v>
      </c>
      <c r="AW18">
        <v>0.27811999999999998</v>
      </c>
      <c r="AX18">
        <v>0.55875699999999995</v>
      </c>
      <c r="AY18">
        <f t="shared" si="15"/>
        <v>0.19319683531790763</v>
      </c>
      <c r="AZ18">
        <f t="shared" si="16"/>
        <v>0.19855943428204492</v>
      </c>
    </row>
    <row r="19" spans="1:52" ht="15" x14ac:dyDescent="0.35">
      <c r="A19" s="2">
        <v>0.45119999999999999</v>
      </c>
      <c r="B19">
        <f t="shared" si="6"/>
        <v>2</v>
      </c>
      <c r="C19" s="1">
        <v>1.72838E-4</v>
      </c>
      <c r="D19">
        <v>0.237015</v>
      </c>
      <c r="E19">
        <v>0.237015</v>
      </c>
      <c r="F19">
        <v>0.53360300000000005</v>
      </c>
      <c r="G19">
        <f t="shared" si="0"/>
        <v>0.59949290166385139</v>
      </c>
      <c r="H19" s="2">
        <f t="shared" si="1"/>
        <v>0.16921011889027912</v>
      </c>
      <c r="I19" s="2"/>
      <c r="J19" s="2">
        <v>0.45119999999999999</v>
      </c>
      <c r="K19">
        <f t="shared" si="7"/>
        <v>2</v>
      </c>
      <c r="L19">
        <v>1.09854E-4</v>
      </c>
      <c r="M19">
        <v>0.23069500000000001</v>
      </c>
      <c r="N19">
        <v>0.23069400000000001</v>
      </c>
      <c r="O19">
        <v>0.56142000000000003</v>
      </c>
      <c r="P19">
        <f t="shared" si="8"/>
        <v>0.59270649552451393</v>
      </c>
      <c r="Q19">
        <f t="shared" si="2"/>
        <v>0.16469742070026813</v>
      </c>
      <c r="S19" s="2">
        <v>0.45119999999999999</v>
      </c>
      <c r="T19">
        <f t="shared" si="9"/>
        <v>2</v>
      </c>
      <c r="U19">
        <v>1.4441000000000001E-4</v>
      </c>
      <c r="V19">
        <v>0.23852300000000001</v>
      </c>
      <c r="W19">
        <v>0.23852300000000001</v>
      </c>
      <c r="X19">
        <v>0.54756300000000002</v>
      </c>
      <c r="Y19">
        <f t="shared" si="3"/>
        <v>0.50088967662942629</v>
      </c>
      <c r="Z19">
        <f t="shared" si="17"/>
        <v>0.17028671260496611</v>
      </c>
      <c r="AB19" s="2">
        <v>0.45119999999999999</v>
      </c>
      <c r="AC19">
        <f t="shared" si="11"/>
        <v>2</v>
      </c>
      <c r="AD19" s="1">
        <v>9.4300000000000002E-5</v>
      </c>
      <c r="AE19">
        <v>0.24599599999999999</v>
      </c>
      <c r="AF19">
        <v>0.24599399999999999</v>
      </c>
      <c r="AG19">
        <v>0.55642800000000003</v>
      </c>
      <c r="AH19">
        <f t="shared" si="4"/>
        <v>0.32708189534073051</v>
      </c>
      <c r="AI19">
        <f t="shared" si="5"/>
        <v>0.17562184843378309</v>
      </c>
      <c r="AK19" s="2">
        <v>0.45119999999999999</v>
      </c>
      <c r="AL19">
        <f t="shared" si="12"/>
        <v>2</v>
      </c>
      <c r="AM19">
        <v>2.8830700000000002E-4</v>
      </c>
      <c r="AN19">
        <v>0.21048600000000001</v>
      </c>
      <c r="AO19">
        <v>0.23852100000000001</v>
      </c>
      <c r="AP19">
        <v>0.50063199999999997</v>
      </c>
      <c r="AQ19">
        <f t="shared" si="18"/>
        <v>0.15027049378621307</v>
      </c>
      <c r="AS19" s="2">
        <v>0.45119999999999999</v>
      </c>
      <c r="AT19">
        <f t="shared" si="14"/>
        <v>2</v>
      </c>
      <c r="AU19" s="1">
        <v>5.7299999999999997E-5</v>
      </c>
      <c r="AV19">
        <v>0.27850599999999998</v>
      </c>
      <c r="AW19">
        <v>0.278501</v>
      </c>
      <c r="AX19">
        <v>0.59801300000000002</v>
      </c>
      <c r="AY19">
        <f t="shared" si="15"/>
        <v>0.19874647511159976</v>
      </c>
      <c r="AZ19">
        <f t="shared" si="16"/>
        <v>0.19883143839696252</v>
      </c>
    </row>
    <row r="20" spans="1:52" ht="15" x14ac:dyDescent="0.35">
      <c r="A20" s="2">
        <v>0.47939999999999999</v>
      </c>
      <c r="B20">
        <f t="shared" si="6"/>
        <v>2.125</v>
      </c>
      <c r="C20" s="1">
        <v>1.7265100000000001E-4</v>
      </c>
      <c r="D20">
        <v>0.23836099999999999</v>
      </c>
      <c r="E20">
        <v>0.23836099999999999</v>
      </c>
      <c r="F20">
        <v>0.56615800000000005</v>
      </c>
      <c r="G20">
        <f t="shared" si="0"/>
        <v>0.59884428751296359</v>
      </c>
      <c r="H20" s="2">
        <f t="shared" si="1"/>
        <v>0.17017105731200902</v>
      </c>
      <c r="I20" s="2"/>
      <c r="J20" s="2">
        <v>0.47939999999999999</v>
      </c>
      <c r="K20">
        <f t="shared" si="7"/>
        <v>2.125</v>
      </c>
      <c r="L20">
        <v>1.0919799999999999E-4</v>
      </c>
      <c r="M20">
        <v>0.231127</v>
      </c>
      <c r="N20">
        <v>0.231125</v>
      </c>
      <c r="O20">
        <v>0.59493600000000002</v>
      </c>
      <c r="P20">
        <f t="shared" si="8"/>
        <v>0.58916711178733483</v>
      </c>
      <c r="Q20">
        <f t="shared" si="2"/>
        <v>0.16500512089325889</v>
      </c>
      <c r="S20" s="2">
        <v>0.47939999999999999</v>
      </c>
      <c r="T20">
        <f t="shared" si="9"/>
        <v>2.125</v>
      </c>
      <c r="U20">
        <v>1.4306E-4</v>
      </c>
      <c r="V20">
        <v>0.23796700000000001</v>
      </c>
      <c r="W20">
        <v>0.23796700000000001</v>
      </c>
      <c r="X20">
        <v>0.57676000000000005</v>
      </c>
      <c r="Y20">
        <f t="shared" si="3"/>
        <v>0.49620716805349852</v>
      </c>
      <c r="Z20">
        <f t="shared" si="17"/>
        <v>0.16988977221679241</v>
      </c>
      <c r="AB20" s="2">
        <v>0.47939999999999999</v>
      </c>
      <c r="AC20">
        <f t="shared" si="11"/>
        <v>2.125</v>
      </c>
      <c r="AD20" s="1">
        <v>9.1799999999999995E-5</v>
      </c>
      <c r="AE20">
        <v>0.252556</v>
      </c>
      <c r="AF20">
        <v>0.252554</v>
      </c>
      <c r="AG20">
        <v>0.59158599999999995</v>
      </c>
      <c r="AH20">
        <f t="shared" si="4"/>
        <v>0.31841058316308651</v>
      </c>
      <c r="AI20">
        <f t="shared" si="5"/>
        <v>0.18030517387698386</v>
      </c>
      <c r="AK20" s="2">
        <v>0.47939999999999999</v>
      </c>
      <c r="AL20">
        <f t="shared" si="12"/>
        <v>2.125</v>
      </c>
      <c r="AM20">
        <v>2.8830700000000002E-4</v>
      </c>
      <c r="AN20">
        <v>0.20783199999999999</v>
      </c>
      <c r="AO20">
        <v>0.23796500000000001</v>
      </c>
      <c r="AP20">
        <v>0.534219</v>
      </c>
      <c r="AQ20">
        <f t="shared" si="18"/>
        <v>0.14837574596208883</v>
      </c>
      <c r="AS20" s="2">
        <v>0.47939999999999999</v>
      </c>
      <c r="AT20">
        <f t="shared" si="14"/>
        <v>2.125</v>
      </c>
      <c r="AU20" s="1">
        <v>5.8300000000000001E-5</v>
      </c>
      <c r="AV20">
        <v>0.28065499999999999</v>
      </c>
      <c r="AW20">
        <v>0.28065099999999998</v>
      </c>
      <c r="AX20">
        <v>0.637409</v>
      </c>
      <c r="AY20">
        <f t="shared" si="15"/>
        <v>0.20221499998265738</v>
      </c>
      <c r="AZ20">
        <f t="shared" si="16"/>
        <v>0.20036565583254765</v>
      </c>
    </row>
    <row r="21" spans="1:52" ht="15" x14ac:dyDescent="0.35">
      <c r="A21" s="2">
        <v>0.50759999999999994</v>
      </c>
      <c r="B21">
        <f t="shared" si="6"/>
        <v>2.25</v>
      </c>
      <c r="C21" s="1">
        <v>1.7156420000000001E-4</v>
      </c>
      <c r="D21">
        <v>0.24055399999999999</v>
      </c>
      <c r="E21">
        <v>0.24055399999999999</v>
      </c>
      <c r="F21">
        <v>0.59882999999999997</v>
      </c>
      <c r="G21">
        <f t="shared" si="0"/>
        <v>0.59507469468309826</v>
      </c>
      <c r="H21" s="2">
        <f t="shared" si="1"/>
        <v>0.17173668729629854</v>
      </c>
      <c r="I21" s="2"/>
      <c r="J21" s="2">
        <v>0.50759999999999994</v>
      </c>
      <c r="K21">
        <f t="shared" si="7"/>
        <v>2.25</v>
      </c>
      <c r="L21">
        <v>1.08843E-4</v>
      </c>
      <c r="M21">
        <v>0.232296</v>
      </c>
      <c r="N21">
        <v>0.232295</v>
      </c>
      <c r="O21">
        <v>0.62868400000000002</v>
      </c>
      <c r="P21">
        <f t="shared" si="8"/>
        <v>0.58725174406370895</v>
      </c>
      <c r="Q21">
        <f t="shared" si="2"/>
        <v>0.16584040912017123</v>
      </c>
      <c r="S21" s="2">
        <v>0.50759999999999994</v>
      </c>
      <c r="T21">
        <f t="shared" si="9"/>
        <v>2.25</v>
      </c>
      <c r="V21">
        <v>0.238071</v>
      </c>
      <c r="W21">
        <v>0.238071</v>
      </c>
      <c r="X21">
        <v>0.60584899999999997</v>
      </c>
      <c r="Y21">
        <f t="shared" si="3"/>
        <v>0</v>
      </c>
      <c r="Z21">
        <f t="shared" si="17"/>
        <v>0.1699640200591846</v>
      </c>
      <c r="AB21" s="2">
        <v>0.50759999999999994</v>
      </c>
      <c r="AC21">
        <f t="shared" si="11"/>
        <v>2.25</v>
      </c>
      <c r="AD21" s="1">
        <v>9.0699999999999996E-5</v>
      </c>
      <c r="AE21">
        <v>0.25958799999999999</v>
      </c>
      <c r="AF21">
        <v>0.25958500000000001</v>
      </c>
      <c r="AG21">
        <v>0.62768500000000005</v>
      </c>
      <c r="AH21">
        <f t="shared" si="4"/>
        <v>0.31459520580492317</v>
      </c>
      <c r="AI21">
        <f t="shared" si="5"/>
        <v>0.18532547029719543</v>
      </c>
      <c r="AK21" s="2">
        <v>0.50759999999999994</v>
      </c>
      <c r="AL21">
        <f t="shared" si="12"/>
        <v>2.25</v>
      </c>
      <c r="AM21">
        <v>2.8830700000000002E-4</v>
      </c>
      <c r="AN21">
        <v>0.20632</v>
      </c>
      <c r="AO21">
        <v>0.238069</v>
      </c>
      <c r="AP21">
        <v>0.56777900000000003</v>
      </c>
      <c r="AQ21">
        <f t="shared" si="18"/>
        <v>0.14729629656115598</v>
      </c>
      <c r="AS21" s="2">
        <v>0.50759999999999994</v>
      </c>
      <c r="AT21">
        <f t="shared" si="14"/>
        <v>2.25</v>
      </c>
      <c r="AU21" s="1">
        <v>5.9599999999999999E-5</v>
      </c>
      <c r="AV21">
        <v>0.28447099999999997</v>
      </c>
      <c r="AW21">
        <v>0.28446700000000003</v>
      </c>
      <c r="AX21">
        <v>0.67725199999999997</v>
      </c>
      <c r="AY21">
        <f t="shared" si="15"/>
        <v>0.20672408231503223</v>
      </c>
      <c r="AZ21">
        <f t="shared" si="16"/>
        <v>0.20308998051109248</v>
      </c>
    </row>
    <row r="22" spans="1:52" ht="15" x14ac:dyDescent="0.35">
      <c r="A22" s="2">
        <v>0.53579999999999994</v>
      </c>
      <c r="B22">
        <f t="shared" si="6"/>
        <v>2.375</v>
      </c>
      <c r="C22" s="1">
        <v>1.7164200000000001E-4</v>
      </c>
      <c r="D22">
        <v>0.245584</v>
      </c>
      <c r="E22">
        <v>0.245584</v>
      </c>
      <c r="F22">
        <v>0.63176900000000002</v>
      </c>
      <c r="G22">
        <f t="shared" si="0"/>
        <v>0.59534454591806651</v>
      </c>
      <c r="H22" s="2">
        <f t="shared" si="1"/>
        <v>0.17532771275046011</v>
      </c>
      <c r="I22" s="2"/>
      <c r="J22" s="2">
        <v>0.53579999999999994</v>
      </c>
      <c r="K22">
        <f t="shared" si="7"/>
        <v>2.375</v>
      </c>
      <c r="L22">
        <v>1.08243E-4</v>
      </c>
      <c r="M22">
        <v>0.23499100000000001</v>
      </c>
      <c r="N22">
        <v>0.23499</v>
      </c>
      <c r="O22">
        <v>0.662941</v>
      </c>
      <c r="P22">
        <f t="shared" si="8"/>
        <v>0.58401450284067913</v>
      </c>
      <c r="Q22">
        <f t="shared" si="2"/>
        <v>0.16776442772831546</v>
      </c>
      <c r="S22" s="2">
        <v>0.53579999999999994</v>
      </c>
      <c r="T22">
        <f t="shared" si="9"/>
        <v>2.375</v>
      </c>
      <c r="U22">
        <v>1.352081E-4</v>
      </c>
      <c r="V22">
        <v>0.238704</v>
      </c>
      <c r="W22">
        <v>0.238704</v>
      </c>
      <c r="X22">
        <v>0.64035193000000001</v>
      </c>
      <c r="Y22">
        <f t="shared" si="3"/>
        <v>0.46897265761844142</v>
      </c>
      <c r="Z22">
        <f t="shared" si="17"/>
        <v>0.17041593240759101</v>
      </c>
      <c r="AB22" s="2">
        <v>0.53579999999999994</v>
      </c>
      <c r="AC22">
        <f t="shared" si="11"/>
        <v>2.375</v>
      </c>
      <c r="AD22" s="1">
        <v>8.9099999999999997E-5</v>
      </c>
      <c r="AE22">
        <v>0.267509</v>
      </c>
      <c r="AF22">
        <v>0.26750499999999999</v>
      </c>
      <c r="AG22">
        <v>0.66487399999999997</v>
      </c>
      <c r="AH22">
        <f t="shared" si="4"/>
        <v>0.30904556601123107</v>
      </c>
      <c r="AI22">
        <f t="shared" si="5"/>
        <v>0.19098044298554806</v>
      </c>
      <c r="AK22" s="2">
        <v>0.53579999999999994</v>
      </c>
      <c r="AL22">
        <f t="shared" si="12"/>
        <v>2.375</v>
      </c>
      <c r="AM22">
        <v>2.8830700000000002E-4</v>
      </c>
      <c r="AN22">
        <v>0.20676</v>
      </c>
      <c r="AO22">
        <v>0.238703</v>
      </c>
      <c r="AP22">
        <v>0.60139299999999996</v>
      </c>
      <c r="AQ22">
        <f t="shared" si="18"/>
        <v>0.14761042204819994</v>
      </c>
      <c r="AS22" s="2">
        <v>0.53579999999999994</v>
      </c>
      <c r="AT22">
        <f t="shared" si="14"/>
        <v>2.375</v>
      </c>
      <c r="AU22" s="1">
        <v>6.2100000000000005E-5</v>
      </c>
      <c r="AV22">
        <v>0.28700500000000001</v>
      </c>
      <c r="AW22">
        <v>0.28700100000000001</v>
      </c>
      <c r="AX22">
        <v>0.71758299999999997</v>
      </c>
      <c r="AY22">
        <f t="shared" si="15"/>
        <v>0.21539539449267622</v>
      </c>
      <c r="AZ22">
        <f t="shared" si="16"/>
        <v>0.20489905774784109</v>
      </c>
    </row>
    <row r="23" spans="1:52" ht="15" x14ac:dyDescent="0.35">
      <c r="A23" s="2">
        <v>0.56399999999999995</v>
      </c>
      <c r="B23">
        <f t="shared" si="6"/>
        <v>2.5</v>
      </c>
      <c r="C23" s="1">
        <v>1.7111399999999999E-4</v>
      </c>
      <c r="D23">
        <v>0.24979599999999999</v>
      </c>
      <c r="E23">
        <v>0.24979599999999999</v>
      </c>
      <c r="F23">
        <v>0.66519200000000001</v>
      </c>
      <c r="G23">
        <f t="shared" si="0"/>
        <v>0.59351316478614802</v>
      </c>
      <c r="H23" s="2">
        <f t="shared" si="1"/>
        <v>0.1783347503673445</v>
      </c>
      <c r="I23" s="2"/>
      <c r="J23" s="2">
        <v>0.56399999999999995</v>
      </c>
      <c r="K23">
        <f t="shared" si="7"/>
        <v>2.5</v>
      </c>
      <c r="L23">
        <v>1.07682E-4</v>
      </c>
      <c r="M23">
        <v>0.23932200000000001</v>
      </c>
      <c r="N23">
        <v>0.23932</v>
      </c>
      <c r="O23">
        <v>0.69791599999999998</v>
      </c>
      <c r="P23">
        <f t="shared" si="8"/>
        <v>0.58098768229714637</v>
      </c>
      <c r="Q23">
        <f t="shared" si="2"/>
        <v>0.17085570808945255</v>
      </c>
      <c r="S23" s="2">
        <v>0.56399999999999995</v>
      </c>
      <c r="T23">
        <f t="shared" si="9"/>
        <v>2.5</v>
      </c>
      <c r="U23">
        <v>1.3012081E-4</v>
      </c>
      <c r="V23">
        <v>0.24003099999999999</v>
      </c>
      <c r="W23">
        <v>0.24003099999999999</v>
      </c>
      <c r="X23">
        <v>0.67651689999999998</v>
      </c>
      <c r="Y23">
        <f t="shared" si="3"/>
        <v>0.45132726572715887</v>
      </c>
      <c r="Z23">
        <f t="shared" si="17"/>
        <v>0.17136330631965313</v>
      </c>
      <c r="AB23" s="2">
        <v>0.56399999999999995</v>
      </c>
      <c r="AC23">
        <f t="shared" si="11"/>
        <v>2.5</v>
      </c>
      <c r="AD23" s="1">
        <v>8.9499999999999994E-5</v>
      </c>
      <c r="AE23">
        <v>0.27130199999999999</v>
      </c>
      <c r="AF23">
        <v>0.27129999999999999</v>
      </c>
      <c r="AG23">
        <v>0.70293300000000003</v>
      </c>
      <c r="AH23">
        <f t="shared" si="4"/>
        <v>0.31043297595965408</v>
      </c>
      <c r="AI23">
        <f t="shared" si="5"/>
        <v>0.19368834746817923</v>
      </c>
      <c r="AK23" s="2">
        <v>0.56399999999999995</v>
      </c>
      <c r="AL23">
        <f t="shared" si="12"/>
        <v>2.5</v>
      </c>
      <c r="AM23">
        <v>2.8830700000000002E-4</v>
      </c>
      <c r="AN23">
        <v>0.20969599999999999</v>
      </c>
      <c r="AO23">
        <v>0.24002999999999999</v>
      </c>
      <c r="AP23">
        <v>0.63514300000000001</v>
      </c>
      <c r="AQ23">
        <f t="shared" si="18"/>
        <v>0.14970649575265688</v>
      </c>
      <c r="AS23" s="2">
        <v>0.56399999999999995</v>
      </c>
      <c r="AT23">
        <f t="shared" si="14"/>
        <v>2.5</v>
      </c>
      <c r="AU23" s="1">
        <v>6.2700000000000006E-5</v>
      </c>
      <c r="AV23">
        <v>0.29026980000000002</v>
      </c>
      <c r="AW23">
        <v>0.29089999999999999</v>
      </c>
      <c r="AX23">
        <v>0.75829299999999999</v>
      </c>
      <c r="AY23">
        <f t="shared" si="15"/>
        <v>0.21747650941531077</v>
      </c>
      <c r="AZ23">
        <f t="shared" si="16"/>
        <v>0.20722986886170724</v>
      </c>
    </row>
    <row r="24" spans="1:52" ht="15" x14ac:dyDescent="0.35">
      <c r="A24" s="2">
        <v>0.59219999999999995</v>
      </c>
      <c r="B24">
        <f t="shared" si="6"/>
        <v>2.625</v>
      </c>
      <c r="C24" s="1">
        <v>1.6880399999999999E-4</v>
      </c>
      <c r="D24">
        <v>0.25218400000000002</v>
      </c>
      <c r="E24">
        <v>0.25218400000000002</v>
      </c>
      <c r="F24">
        <v>0.69936100000000001</v>
      </c>
      <c r="G24">
        <f t="shared" si="0"/>
        <v>0.58550087233400505</v>
      </c>
      <c r="H24" s="2">
        <f t="shared" si="1"/>
        <v>0.18003959505611944</v>
      </c>
      <c r="I24" s="2"/>
      <c r="J24" s="2">
        <v>0.59219999999999995</v>
      </c>
      <c r="K24">
        <f t="shared" si="7"/>
        <v>2.625</v>
      </c>
      <c r="L24">
        <v>1.07246E-4</v>
      </c>
      <c r="M24">
        <v>0.24565699999999999</v>
      </c>
      <c r="N24">
        <v>0.24565600000000001</v>
      </c>
      <c r="O24">
        <v>0.73325799999999997</v>
      </c>
      <c r="P24">
        <f t="shared" si="8"/>
        <v>0.57863528700841138</v>
      </c>
      <c r="Q24">
        <f t="shared" si="2"/>
        <v>0.17537911510288551</v>
      </c>
      <c r="S24" s="2">
        <v>0.59219999999999995</v>
      </c>
      <c r="T24">
        <f t="shared" si="9"/>
        <v>2.625</v>
      </c>
      <c r="U24">
        <v>1.2273859999999999E-4</v>
      </c>
      <c r="V24">
        <v>0.24246899999999999</v>
      </c>
      <c r="W24">
        <v>0.24246899999999999</v>
      </c>
      <c r="X24">
        <v>0.70891696776000002</v>
      </c>
      <c r="Y24">
        <f t="shared" si="3"/>
        <v>0.4257218867387888</v>
      </c>
      <c r="Z24">
        <f t="shared" si="17"/>
        <v>0.1731038470865012</v>
      </c>
      <c r="AB24" s="2">
        <v>0.59219999999999995</v>
      </c>
      <c r="AC24">
        <f t="shared" si="11"/>
        <v>2.625</v>
      </c>
      <c r="AD24" s="1">
        <v>8.8999999999999995E-5</v>
      </c>
      <c r="AE24">
        <v>0.277812</v>
      </c>
      <c r="AF24">
        <v>0.277812</v>
      </c>
      <c r="AG24">
        <v>0.74151800000000001</v>
      </c>
      <c r="AH24">
        <f t="shared" si="4"/>
        <v>0.30869871352412531</v>
      </c>
      <c r="AI24">
        <f t="shared" si="5"/>
        <v>0.19833597683330684</v>
      </c>
      <c r="AK24" s="2">
        <v>0.59219999999999995</v>
      </c>
      <c r="AL24">
        <f t="shared" si="12"/>
        <v>2.625</v>
      </c>
      <c r="AM24">
        <v>2.8830700000000002E-4</v>
      </c>
      <c r="AN24">
        <v>0.21681800000000001</v>
      </c>
      <c r="AO24">
        <v>0.24246799999999999</v>
      </c>
      <c r="AP24">
        <v>0.66915100000000005</v>
      </c>
      <c r="AQ24">
        <f t="shared" si="18"/>
        <v>0.15479104511340017</v>
      </c>
      <c r="AR24">
        <v>0.29269800000000001</v>
      </c>
      <c r="AS24" s="2">
        <v>0.59219999999999995</v>
      </c>
      <c r="AT24">
        <f t="shared" si="14"/>
        <v>2.625</v>
      </c>
      <c r="AU24" s="1">
        <v>6.4700000000000001E-5</v>
      </c>
      <c r="AV24">
        <v>0.293902</v>
      </c>
      <c r="AW24">
        <v>0.293902</v>
      </c>
      <c r="AX24">
        <v>0.79956000000000005</v>
      </c>
      <c r="AY24">
        <f t="shared" si="15"/>
        <v>0.22441355915742592</v>
      </c>
      <c r="AZ24">
        <f t="shared" si="16"/>
        <v>0.20982297475725506</v>
      </c>
    </row>
    <row r="25" spans="1:52" ht="15" x14ac:dyDescent="0.35">
      <c r="A25" s="2">
        <v>0.62039999999999995</v>
      </c>
      <c r="B25">
        <f t="shared" si="6"/>
        <v>2.75</v>
      </c>
      <c r="C25" s="1">
        <v>1.6573900000000001E-4</v>
      </c>
      <c r="D25">
        <v>0.26678200000000002</v>
      </c>
      <c r="E25">
        <v>0.26678200000000002</v>
      </c>
      <c r="F25">
        <v>0.73475199999999996</v>
      </c>
      <c r="G25">
        <f t="shared" si="0"/>
        <v>0.57486984360421356</v>
      </c>
      <c r="H25" s="2">
        <f t="shared" si="1"/>
        <v>0.19046142201036409</v>
      </c>
      <c r="I25" s="2"/>
      <c r="J25" s="2">
        <v>0.62039999999999995</v>
      </c>
      <c r="K25">
        <f t="shared" si="7"/>
        <v>2.75</v>
      </c>
      <c r="L25">
        <v>1.05025E-4</v>
      </c>
      <c r="M25">
        <v>0.25764700000000001</v>
      </c>
      <c r="N25">
        <v>0.25764500000000001</v>
      </c>
      <c r="O25">
        <v>0.76968800000000004</v>
      </c>
      <c r="P25">
        <f t="shared" si="8"/>
        <v>0.5666520990811631</v>
      </c>
      <c r="Q25">
        <f t="shared" si="2"/>
        <v>0.18393832070327179</v>
      </c>
      <c r="S25" s="2">
        <v>0.62039999999999995</v>
      </c>
      <c r="T25">
        <f t="shared" si="9"/>
        <v>2.75</v>
      </c>
      <c r="U25">
        <v>1.12617E-4</v>
      </c>
      <c r="V25">
        <v>0.24657499999999999</v>
      </c>
      <c r="W25">
        <v>0.24657499999999999</v>
      </c>
      <c r="X25">
        <v>0.74830574999999999</v>
      </c>
      <c r="Y25">
        <f t="shared" si="3"/>
        <v>0.39061486540389234</v>
      </c>
      <c r="Z25">
        <f t="shared" si="17"/>
        <v>0.17603520901787048</v>
      </c>
      <c r="AB25" s="2">
        <v>0.62039999999999995</v>
      </c>
      <c r="AC25">
        <f t="shared" si="11"/>
        <v>2.75</v>
      </c>
      <c r="AD25" s="1">
        <v>8.5699999999999996E-5</v>
      </c>
      <c r="AE25">
        <v>0.28943210000000003</v>
      </c>
      <c r="AF25">
        <v>0.28943210000000003</v>
      </c>
      <c r="AG25">
        <v>0.78181</v>
      </c>
      <c r="AH25">
        <f t="shared" si="4"/>
        <v>0.29725258144963523</v>
      </c>
      <c r="AI25">
        <f t="shared" si="5"/>
        <v>0.20663181676966924</v>
      </c>
      <c r="AK25" s="2">
        <v>0.62039999999999995</v>
      </c>
      <c r="AL25">
        <f t="shared" si="12"/>
        <v>2.75</v>
      </c>
      <c r="AM25">
        <v>2.8830700000000002E-4</v>
      </c>
      <c r="AN25">
        <v>0.232206</v>
      </c>
      <c r="AO25">
        <v>0.24657299999999999</v>
      </c>
      <c r="AP25">
        <v>0.70360999999999996</v>
      </c>
      <c r="AQ25">
        <f t="shared" si="18"/>
        <v>0.16577687010120098</v>
      </c>
      <c r="AS25" s="2">
        <v>0.62039999999999995</v>
      </c>
      <c r="AT25">
        <f t="shared" si="14"/>
        <v>2.75</v>
      </c>
      <c r="AU25" s="1">
        <v>6.1649999999999994E-5</v>
      </c>
      <c r="AV25">
        <v>0.30879030000000002</v>
      </c>
      <c r="AW25">
        <v>0.30879030000000002</v>
      </c>
      <c r="AX25">
        <v>0.84045400000000003</v>
      </c>
      <c r="AY25">
        <f t="shared" si="15"/>
        <v>0.21383455830070025</v>
      </c>
      <c r="AZ25">
        <f t="shared" si="16"/>
        <v>0.22045205314079258</v>
      </c>
    </row>
    <row r="26" spans="1:52" ht="15" x14ac:dyDescent="0.35">
      <c r="A26" s="2">
        <v>0.64859999999999995</v>
      </c>
      <c r="B26">
        <f t="shared" si="6"/>
        <v>2.875</v>
      </c>
      <c r="C26" s="1">
        <v>1.6200000000000001E-4</v>
      </c>
      <c r="D26">
        <v>0.28106100000000001</v>
      </c>
      <c r="E26">
        <v>0.28106100000000001</v>
      </c>
      <c r="F26">
        <v>0.77227800000000002</v>
      </c>
      <c r="G26">
        <f t="shared" si="0"/>
        <v>0.56190102911132922</v>
      </c>
      <c r="H26" s="2">
        <f t="shared" si="1"/>
        <v>0.20065550798650186</v>
      </c>
      <c r="I26" s="2"/>
      <c r="J26" s="2">
        <v>0.64859999999999995</v>
      </c>
      <c r="K26">
        <f t="shared" si="7"/>
        <v>2.875</v>
      </c>
      <c r="L26">
        <v>1.03317E-4</v>
      </c>
      <c r="M26">
        <v>0.27471400000000001</v>
      </c>
      <c r="N26">
        <v>0.27471200000000001</v>
      </c>
      <c r="O26">
        <v>0.80846099999999999</v>
      </c>
      <c r="P26">
        <f t="shared" si="8"/>
        <v>0.557436752399605</v>
      </c>
      <c r="Q26">
        <f t="shared" si="2"/>
        <v>0.1961228199927699</v>
      </c>
      <c r="S26" s="2">
        <v>0.64859999999999995</v>
      </c>
      <c r="T26">
        <f t="shared" si="9"/>
        <v>2.875</v>
      </c>
      <c r="U26">
        <v>1.0212617E-4</v>
      </c>
      <c r="V26">
        <v>0.26526280000000002</v>
      </c>
      <c r="W26">
        <v>0.25262800000000002</v>
      </c>
      <c r="X26">
        <v>0.78669639999999996</v>
      </c>
      <c r="Y26">
        <f t="shared" si="3"/>
        <v>0.3542271606308553</v>
      </c>
      <c r="Z26">
        <f t="shared" si="17"/>
        <v>0.1893768323741887</v>
      </c>
      <c r="AB26" s="2">
        <v>0.64859999999999995</v>
      </c>
      <c r="AC26">
        <f t="shared" si="11"/>
        <v>2.875</v>
      </c>
      <c r="AD26" s="1">
        <v>8.2100000000000003E-5</v>
      </c>
      <c r="AE26">
        <v>0.3011219</v>
      </c>
      <c r="AF26">
        <v>0.3011219</v>
      </c>
      <c r="AG26">
        <v>0.82455000000000001</v>
      </c>
      <c r="AH26">
        <f t="shared" si="4"/>
        <v>0.28476589191382795</v>
      </c>
      <c r="AI26">
        <f t="shared" si="5"/>
        <v>0.21497741703886564</v>
      </c>
      <c r="AK26" s="2">
        <v>0.64859999999999995</v>
      </c>
      <c r="AL26">
        <f t="shared" si="12"/>
        <v>2.875</v>
      </c>
      <c r="AM26">
        <v>2.8830700000000002E-4</v>
      </c>
      <c r="AN26">
        <v>0.246084</v>
      </c>
      <c r="AO26">
        <v>0.25262600000000002</v>
      </c>
      <c r="AP26">
        <v>0.73879600000000001</v>
      </c>
      <c r="AQ26">
        <f t="shared" si="18"/>
        <v>0.17568467353119188</v>
      </c>
      <c r="AS26" s="2">
        <v>0.64859999999999995</v>
      </c>
      <c r="AT26">
        <f t="shared" si="14"/>
        <v>2.875</v>
      </c>
      <c r="AU26" s="1">
        <v>5.77E-5</v>
      </c>
      <c r="AV26">
        <v>0.32250699999999999</v>
      </c>
      <c r="AW26">
        <v>0.32250699999999999</v>
      </c>
      <c r="AX26">
        <v>0.88218399999999997</v>
      </c>
      <c r="AY26">
        <f t="shared" si="15"/>
        <v>0.2001338850600228</v>
      </c>
      <c r="AZ26">
        <f t="shared" si="16"/>
        <v>0.23024470102291941</v>
      </c>
    </row>
    <row r="27" spans="1:52" ht="15" x14ac:dyDescent="0.35">
      <c r="A27" s="2">
        <v>0.67679999999999996</v>
      </c>
      <c r="B27">
        <f t="shared" si="6"/>
        <v>3</v>
      </c>
      <c r="C27" s="1">
        <v>1.5693700000000001E-4</v>
      </c>
      <c r="D27">
        <v>0.30187599999999998</v>
      </c>
      <c r="E27">
        <v>0.30187599999999998</v>
      </c>
      <c r="F27">
        <v>0.81228</v>
      </c>
      <c r="G27">
        <f t="shared" si="0"/>
        <v>0.54433988768916464</v>
      </c>
      <c r="H27" s="2">
        <f t="shared" si="1"/>
        <v>0.21551578528836526</v>
      </c>
      <c r="I27" s="2"/>
      <c r="J27" s="2">
        <v>0.67679999999999996</v>
      </c>
      <c r="K27">
        <f t="shared" si="7"/>
        <v>3</v>
      </c>
      <c r="L27">
        <v>1.0012E-4</v>
      </c>
      <c r="M27">
        <v>0.32962629999999998</v>
      </c>
      <c r="N27">
        <v>0.29626000000000002</v>
      </c>
      <c r="O27">
        <v>0.84914900000000004</v>
      </c>
      <c r="P27">
        <f t="shared" si="8"/>
        <v>0.54018765208289488</v>
      </c>
      <c r="Q27">
        <f t="shared" si="2"/>
        <v>0.21150640179918609</v>
      </c>
      <c r="S27" s="2">
        <v>0.67679999999999996</v>
      </c>
      <c r="T27">
        <f t="shared" si="9"/>
        <v>3</v>
      </c>
      <c r="U27">
        <v>9.5126169999999995E-5</v>
      </c>
      <c r="V27">
        <v>0.28885300000000003</v>
      </c>
      <c r="W27">
        <v>0.28885300000000003</v>
      </c>
      <c r="X27">
        <v>0.83902825700000006</v>
      </c>
      <c r="Y27">
        <f t="shared" si="3"/>
        <v>0.32994748653345213</v>
      </c>
      <c r="Z27">
        <f t="shared" si="17"/>
        <v>0.20621838479342572</v>
      </c>
      <c r="AB27" s="2">
        <v>0.67679999999999996</v>
      </c>
      <c r="AC27">
        <f t="shared" si="11"/>
        <v>3</v>
      </c>
      <c r="AD27" s="1">
        <v>7.8010999999999996E-5</v>
      </c>
      <c r="AE27">
        <v>0.315585</v>
      </c>
      <c r="AF27">
        <v>0.315585</v>
      </c>
      <c r="AG27">
        <v>0.86893100000000001</v>
      </c>
      <c r="AH27">
        <f t="shared" si="4"/>
        <v>0.27058309371607348</v>
      </c>
      <c r="AI27">
        <f t="shared" si="5"/>
        <v>0.22530293597446885</v>
      </c>
      <c r="AK27" s="2">
        <v>0.67679999999999996</v>
      </c>
      <c r="AL27">
        <f t="shared" si="12"/>
        <v>3</v>
      </c>
      <c r="AM27">
        <v>2.8830700000000002E-4</v>
      </c>
      <c r="AN27">
        <v>0.26141599999999998</v>
      </c>
      <c r="AO27">
        <v>0.26141399999999998</v>
      </c>
      <c r="AP27">
        <v>0.77503699999999998</v>
      </c>
      <c r="AQ27">
        <f t="shared" ref="AQ27:AQ29" si="19">AN27/1.40071410359145</f>
        <v>0.18663051891155075</v>
      </c>
      <c r="AS27" s="2">
        <v>0.67679999999999996</v>
      </c>
      <c r="AT27">
        <f t="shared" si="14"/>
        <v>3</v>
      </c>
      <c r="AU27" s="1">
        <v>4.9740000000000001E-5</v>
      </c>
      <c r="AV27">
        <v>0.35687459999999999</v>
      </c>
      <c r="AW27">
        <v>0.35687459999999999</v>
      </c>
      <c r="AX27">
        <v>0.93008400000000002</v>
      </c>
      <c r="AY27">
        <f t="shared" si="15"/>
        <v>0.17252442708640442</v>
      </c>
      <c r="AZ27">
        <f t="shared" si="16"/>
        <v>0.25478047167867351</v>
      </c>
    </row>
    <row r="28" spans="1:52" ht="15" x14ac:dyDescent="0.35">
      <c r="A28" s="2">
        <v>0.70499999999999996</v>
      </c>
      <c r="B28">
        <f t="shared" si="6"/>
        <v>3.125</v>
      </c>
      <c r="C28" s="1">
        <v>1.5422649999999999E-4</v>
      </c>
      <c r="D28">
        <v>0.34580499999999997</v>
      </c>
      <c r="E28">
        <v>0.34580499999999997</v>
      </c>
      <c r="F28">
        <v>0.85889099999999996</v>
      </c>
      <c r="G28">
        <f t="shared" si="0"/>
        <v>0.534938451026163</v>
      </c>
      <c r="H28" s="2">
        <f t="shared" si="1"/>
        <v>0.24687764556189676</v>
      </c>
      <c r="I28" s="2"/>
      <c r="J28" s="2">
        <v>0.70499999999999996</v>
      </c>
      <c r="K28">
        <f t="shared" si="7"/>
        <v>3.125</v>
      </c>
      <c r="L28" s="1">
        <v>9.6199999999999994E-5</v>
      </c>
      <c r="M28">
        <v>0.37629899999999999</v>
      </c>
      <c r="N28">
        <v>0.37629200000000002</v>
      </c>
      <c r="O28">
        <v>0.89507800000000004</v>
      </c>
      <c r="P28">
        <f t="shared" si="8"/>
        <v>0.51903767609243401</v>
      </c>
      <c r="Q28">
        <f t="shared" si="2"/>
        <v>0.26864297220623551</v>
      </c>
      <c r="S28" s="2">
        <v>0.70499999999999996</v>
      </c>
      <c r="T28">
        <f t="shared" si="9"/>
        <v>3.125</v>
      </c>
      <c r="U28" s="1">
        <v>8.8720000000000004E-5</v>
      </c>
      <c r="V28">
        <v>0.33654899999999999</v>
      </c>
      <c r="W28">
        <v>0.33654899999999999</v>
      </c>
      <c r="X28">
        <v>0.89596100000000001</v>
      </c>
      <c r="Y28">
        <f t="shared" si="3"/>
        <v>0.30772752656022923</v>
      </c>
      <c r="Z28">
        <f t="shared" si="17"/>
        <v>0.24026958758899034</v>
      </c>
      <c r="AB28" s="2">
        <v>0.70499999999999996</v>
      </c>
      <c r="AC28">
        <f t="shared" si="11"/>
        <v>3.125</v>
      </c>
      <c r="AD28" s="1">
        <v>7.1989999999999993E-5</v>
      </c>
      <c r="AE28">
        <v>0.34117029999999998</v>
      </c>
      <c r="AF28">
        <v>0.34117029999999998</v>
      </c>
      <c r="AG28">
        <v>0.91313500000000003</v>
      </c>
      <c r="AH28">
        <f t="shared" si="4"/>
        <v>0.24969910546743571</v>
      </c>
      <c r="AI28">
        <f t="shared" si="5"/>
        <v>0.24356883330098175</v>
      </c>
      <c r="AK28" s="2">
        <v>0.70499999999999996</v>
      </c>
      <c r="AL28">
        <f t="shared" si="12"/>
        <v>3.125</v>
      </c>
      <c r="AM28">
        <v>2.8830700000000002E-4</v>
      </c>
      <c r="AN28">
        <v>0.27645999999999998</v>
      </c>
      <c r="AO28">
        <v>0.27645799999999998</v>
      </c>
      <c r="AP28">
        <v>0.81286999999999998</v>
      </c>
      <c r="AQ28">
        <f t="shared" si="19"/>
        <v>0.19737075488220812</v>
      </c>
      <c r="AS28" s="2">
        <v>0.70499999999999996</v>
      </c>
      <c r="AT28">
        <f t="shared" si="14"/>
        <v>3.125</v>
      </c>
      <c r="AU28" s="1">
        <v>4.74E-5</v>
      </c>
      <c r="AV28">
        <v>0.39398300000000003</v>
      </c>
      <c r="AW28">
        <v>0.39398300000000003</v>
      </c>
      <c r="AX28">
        <v>0.98399899999999996</v>
      </c>
      <c r="AY28">
        <f t="shared" si="15"/>
        <v>0.16440807888812967</v>
      </c>
      <c r="AZ28">
        <f t="shared" si="16"/>
        <v>0.28127295855008688</v>
      </c>
    </row>
    <row r="29" spans="1:52" ht="15" x14ac:dyDescent="0.35">
      <c r="A29" s="2">
        <v>0.73319999999999996</v>
      </c>
      <c r="B29">
        <f t="shared" si="6"/>
        <v>3.25</v>
      </c>
      <c r="C29" s="1">
        <v>1.4391440000000001E-4</v>
      </c>
      <c r="D29">
        <v>0.38365830000000001</v>
      </c>
      <c r="E29">
        <v>0.38365830000000001</v>
      </c>
      <c r="F29">
        <v>0.91659000000000002</v>
      </c>
      <c r="G29">
        <f t="shared" si="0"/>
        <v>0.49917067570333012</v>
      </c>
      <c r="H29" s="2">
        <f t="shared" si="1"/>
        <v>0.27390193260444434</v>
      </c>
      <c r="I29" s="2"/>
      <c r="J29" s="2">
        <v>0.73319999999999996</v>
      </c>
      <c r="K29">
        <f t="shared" si="7"/>
        <v>3.25</v>
      </c>
      <c r="L29" s="1">
        <v>9.4619999999999999E-5</v>
      </c>
      <c r="M29">
        <v>0.42193399999999998</v>
      </c>
      <c r="N29">
        <v>0.42193399999999998</v>
      </c>
      <c r="O29">
        <v>0.94371300000000002</v>
      </c>
      <c r="P29">
        <f t="shared" si="8"/>
        <v>0.510512940871789</v>
      </c>
      <c r="Q29">
        <f t="shared" si="2"/>
        <v>0.30122778011455403</v>
      </c>
      <c r="S29" s="2">
        <v>0.73319999999999996</v>
      </c>
      <c r="T29">
        <f t="shared" si="9"/>
        <v>3.25</v>
      </c>
      <c r="U29" s="1">
        <v>8.6520000000000005E-5</v>
      </c>
      <c r="V29">
        <v>0.40354899999999999</v>
      </c>
      <c r="W29">
        <v>0.43548999999999999</v>
      </c>
      <c r="X29" s="2">
        <v>0.95484279999999999</v>
      </c>
      <c r="Y29">
        <f t="shared" si="3"/>
        <v>0.30009677184390249</v>
      </c>
      <c r="Z29">
        <f t="shared" si="17"/>
        <v>0.28810233220704701</v>
      </c>
      <c r="AB29" s="2">
        <v>0.73319999999999996</v>
      </c>
      <c r="AC29">
        <f t="shared" si="11"/>
        <v>3.25</v>
      </c>
      <c r="AD29" s="1">
        <v>7.0469999999999994E-5</v>
      </c>
      <c r="AE29">
        <v>0.43823204999999998</v>
      </c>
      <c r="AF29">
        <v>0.43823204999999998</v>
      </c>
      <c r="AG29">
        <v>0.957542</v>
      </c>
      <c r="AH29">
        <f t="shared" si="4"/>
        <v>0.24442694766342818</v>
      </c>
      <c r="AI29">
        <f t="shared" si="5"/>
        <v>0.31286330941936474</v>
      </c>
      <c r="AK29" s="2">
        <v>0.73319999999999996</v>
      </c>
      <c r="AL29">
        <f t="shared" si="12"/>
        <v>3.25</v>
      </c>
      <c r="AM29">
        <v>2.8830700000000002E-4</v>
      </c>
      <c r="AN29">
        <v>0.30729899999999999</v>
      </c>
      <c r="AO29">
        <v>0.30729600000000001</v>
      </c>
      <c r="AP29">
        <v>0.85376200000000002</v>
      </c>
      <c r="AQ29">
        <f t="shared" si="19"/>
        <v>0.21938738191618201</v>
      </c>
      <c r="AS29" s="2">
        <v>0.73319999999999996</v>
      </c>
      <c r="AT29">
        <f t="shared" si="14"/>
        <v>3.25</v>
      </c>
      <c r="AU29" s="1">
        <v>4.6699999999999997E-5</v>
      </c>
      <c r="AV29">
        <v>0.44405</v>
      </c>
      <c r="AW29">
        <v>0.44405</v>
      </c>
      <c r="AX29">
        <v>1.0376399999999999</v>
      </c>
      <c r="AY29">
        <f>AU29/0.000288307</f>
        <v>0.16198011147838934</v>
      </c>
      <c r="AZ29">
        <f t="shared" si="16"/>
        <v>0.31701686936788154</v>
      </c>
    </row>
    <row r="30" spans="1:52" ht="15" x14ac:dyDescent="0.35">
      <c r="A30" s="2"/>
      <c r="H30" s="2"/>
      <c r="I30" s="2"/>
      <c r="S30" s="1"/>
      <c r="U30" s="1"/>
      <c r="X30" s="2"/>
      <c r="Z30" s="1"/>
    </row>
    <row r="31" spans="1:52" ht="15" x14ac:dyDescent="0.35">
      <c r="A31" s="2"/>
      <c r="H31" s="2"/>
      <c r="I31" s="2"/>
      <c r="J31" s="2"/>
      <c r="S31" s="1"/>
      <c r="Z31" s="1"/>
    </row>
    <row r="32" spans="1:52" ht="25.2" x14ac:dyDescent="0.45">
      <c r="C32" s="3" t="str">
        <f>"Aₜ = 0.2, n = 0.8, K"&amp;_xlfn.UNICHAR(8323)</f>
        <v>Aₜ = 0.2, n = 0.8, K₃</v>
      </c>
      <c r="D32" s="4"/>
      <c r="L32" s="3" t="str">
        <f>"Aₜ = 0.2, n = 0.8, K"&amp;_xlfn.UNICHAR(8324)</f>
        <v>Aₜ = 0.2, n = 0.8, K₄</v>
      </c>
      <c r="M32" s="4"/>
      <c r="U32" s="3" t="str">
        <f>"Aₜ = 0.2, n = 0.7, K"&amp;_xlfn.UNICHAR(8323)</f>
        <v>Aₜ = 0.2, n = 0.7, K₃</v>
      </c>
      <c r="V32" s="4"/>
      <c r="AD32" s="3" t="str">
        <f>"Aₜ = 0.2, n = 0.6, K"&amp;_xlfn.UNICHAR(8323)</f>
        <v>Aₜ = 0.2, n = 0.6, K₃</v>
      </c>
      <c r="AE32" s="4"/>
      <c r="AN32" s="3" t="str">
        <f>"Aₜ = 0.2, n = 0.5, K"&amp;_xlfn.UNICHAR(8323)</f>
        <v>Aₜ = 0.2, n = 0.5, K₃</v>
      </c>
      <c r="AO32" s="4"/>
    </row>
    <row r="33" spans="1:44" ht="15.6" x14ac:dyDescent="0.35">
      <c r="A33" t="s">
        <v>0</v>
      </c>
      <c r="B33" t="s">
        <v>1</v>
      </c>
      <c r="C33" t="s">
        <v>2</v>
      </c>
      <c r="D33" t="s">
        <v>3</v>
      </c>
      <c r="E33" t="s">
        <v>4</v>
      </c>
      <c r="F33" t="s">
        <v>5</v>
      </c>
      <c r="G33" t="s">
        <v>6</v>
      </c>
      <c r="H33" t="s">
        <v>7</v>
      </c>
      <c r="J33" t="s">
        <v>0</v>
      </c>
      <c r="K33" t="s">
        <v>1</v>
      </c>
      <c r="L33" t="s">
        <v>2</v>
      </c>
      <c r="M33" t="s">
        <v>3</v>
      </c>
      <c r="N33" t="s">
        <v>4</v>
      </c>
      <c r="O33" t="s">
        <v>5</v>
      </c>
      <c r="P33" t="s">
        <v>6</v>
      </c>
      <c r="Q33" t="s">
        <v>7</v>
      </c>
      <c r="S33" t="s">
        <v>0</v>
      </c>
      <c r="T33" t="s">
        <v>1</v>
      </c>
      <c r="U33" t="s">
        <v>2</v>
      </c>
      <c r="V33" t="s">
        <v>3</v>
      </c>
      <c r="W33" t="s">
        <v>4</v>
      </c>
      <c r="X33" t="s">
        <v>5</v>
      </c>
      <c r="Y33" t="s">
        <v>6</v>
      </c>
      <c r="Z33" t="s">
        <v>7</v>
      </c>
      <c r="AB33" t="s">
        <v>0</v>
      </c>
      <c r="AC33" t="s">
        <v>1</v>
      </c>
      <c r="AD33" t="s">
        <v>2</v>
      </c>
      <c r="AE33" t="s">
        <v>3</v>
      </c>
      <c r="AF33" t="s">
        <v>4</v>
      </c>
      <c r="AG33" t="s">
        <v>5</v>
      </c>
      <c r="AH33" t="s">
        <v>8</v>
      </c>
      <c r="AI33" t="s">
        <v>7</v>
      </c>
      <c r="AK33" t="s">
        <v>0</v>
      </c>
      <c r="AL33" t="s">
        <v>1</v>
      </c>
      <c r="AM33" t="s">
        <v>2</v>
      </c>
      <c r="AN33" t="s">
        <v>3</v>
      </c>
      <c r="AO33" t="s">
        <v>4</v>
      </c>
      <c r="AP33" t="s">
        <v>5</v>
      </c>
      <c r="AQ33" t="s">
        <v>6</v>
      </c>
      <c r="AR33" t="s">
        <v>7</v>
      </c>
    </row>
    <row r="34" spans="1:44" ht="15" x14ac:dyDescent="0.35">
      <c r="A34" s="2">
        <v>0</v>
      </c>
      <c r="B34">
        <v>0</v>
      </c>
      <c r="C34">
        <v>2.8830700000000002E-4</v>
      </c>
      <c r="D34">
        <v>0</v>
      </c>
      <c r="E34">
        <v>0</v>
      </c>
      <c r="F34">
        <v>0.1</v>
      </c>
      <c r="G34">
        <v>1</v>
      </c>
      <c r="H34" s="2">
        <v>0</v>
      </c>
      <c r="J34" s="2">
        <v>0</v>
      </c>
      <c r="K34">
        <v>0</v>
      </c>
      <c r="L34">
        <v>1.85343E-4</v>
      </c>
      <c r="M34">
        <v>0</v>
      </c>
      <c r="N34">
        <v>0</v>
      </c>
      <c r="O34">
        <v>0.1</v>
      </c>
      <c r="P34">
        <v>1</v>
      </c>
      <c r="Q34" s="2">
        <v>0</v>
      </c>
      <c r="S34" s="2">
        <v>0</v>
      </c>
      <c r="T34">
        <v>0</v>
      </c>
      <c r="U34">
        <v>2.8830700000000002E-4</v>
      </c>
      <c r="V34">
        <v>0</v>
      </c>
      <c r="W34">
        <v>0</v>
      </c>
      <c r="X34">
        <v>0.1</v>
      </c>
      <c r="Y34">
        <v>1</v>
      </c>
      <c r="Z34" s="2">
        <v>0</v>
      </c>
      <c r="AB34" s="2">
        <v>0</v>
      </c>
      <c r="AC34">
        <v>0</v>
      </c>
      <c r="AD34">
        <v>2.8830700000000002E-4</v>
      </c>
      <c r="AE34">
        <v>0</v>
      </c>
      <c r="AF34">
        <v>0</v>
      </c>
      <c r="AG34">
        <v>0.1</v>
      </c>
      <c r="AH34">
        <f>AD34/0.000288307</f>
        <v>1</v>
      </c>
      <c r="AI34" s="2">
        <v>0</v>
      </c>
      <c r="AK34" s="2">
        <v>0</v>
      </c>
      <c r="AL34">
        <v>0</v>
      </c>
      <c r="AM34">
        <v>2.8830700000000002E-4</v>
      </c>
      <c r="AN34">
        <v>0</v>
      </c>
      <c r="AO34">
        <v>0</v>
      </c>
      <c r="AP34">
        <v>0.1</v>
      </c>
      <c r="AQ34">
        <v>1</v>
      </c>
      <c r="AR34" s="2">
        <v>0</v>
      </c>
    </row>
    <row r="35" spans="1:44" ht="15" x14ac:dyDescent="0.35">
      <c r="A35" s="2">
        <v>0.04</v>
      </c>
      <c r="B35">
        <v>0.125</v>
      </c>
      <c r="C35">
        <v>2.6840737900000002E-4</v>
      </c>
      <c r="D35">
        <v>5.6179200000000002E-3</v>
      </c>
      <c r="E35">
        <v>5.6179100000000003E-3</v>
      </c>
      <c r="F35">
        <v>0.10052899999999999</v>
      </c>
      <c r="G35">
        <f>C35/0.000288307</f>
        <v>0.93097766963688011</v>
      </c>
      <c r="H35">
        <f>D35/1.40071410359145</f>
        <v>4.0107542185772076E-3</v>
      </c>
      <c r="J35">
        <v>0.04</v>
      </c>
      <c r="K35">
        <v>0.125</v>
      </c>
      <c r="L35">
        <v>1.7822341699999999E-4</v>
      </c>
      <c r="M35">
        <v>1.12055E-2</v>
      </c>
      <c r="N35">
        <v>1.12055E-2</v>
      </c>
      <c r="O35">
        <v>0.100587</v>
      </c>
      <c r="P35">
        <f>L35/0.000185343</f>
        <v>0.96158698736936377</v>
      </c>
      <c r="Q35">
        <f>M35/1.40071410359145</f>
        <v>7.9998480569796106E-3</v>
      </c>
      <c r="S35">
        <v>0.04</v>
      </c>
      <c r="T35">
        <v>0.125</v>
      </c>
      <c r="U35">
        <v>2.5418742000000001E-4</v>
      </c>
      <c r="V35">
        <v>9.4456499999999999E-3</v>
      </c>
      <c r="W35">
        <v>9.4456399999999999E-3</v>
      </c>
      <c r="X35">
        <v>0.100721</v>
      </c>
      <c r="Y35">
        <f>U35/0.000288307</f>
        <v>0.88165538817996092</v>
      </c>
      <c r="Z35">
        <f>V35/1.40071410359145</f>
        <v>6.7434531970380135E-3</v>
      </c>
      <c r="AB35">
        <v>0.04</v>
      </c>
      <c r="AC35">
        <v>0.125</v>
      </c>
      <c r="AD35">
        <v>2.5999999999999998E-4</v>
      </c>
      <c r="AE35">
        <v>3.3553699999999999E-3</v>
      </c>
      <c r="AF35">
        <v>3.35535E-3</v>
      </c>
      <c r="AG35">
        <v>0.100256</v>
      </c>
      <c r="AH35">
        <f t="shared" ref="AH35:AH62" si="20">AD35/0.000288307</f>
        <v>0.90181646647497271</v>
      </c>
      <c r="AI35">
        <f>AE35/1.40071410359145</f>
        <v>2.3954709896878922E-3</v>
      </c>
      <c r="AK35">
        <v>0.04</v>
      </c>
      <c r="AL35">
        <v>0.125</v>
      </c>
      <c r="AM35">
        <v>2.5599999999999999E-4</v>
      </c>
      <c r="AN35">
        <v>3.3695299999999999E-3</v>
      </c>
      <c r="AO35">
        <v>3.36952E-3</v>
      </c>
      <c r="AP35">
        <v>0.100256</v>
      </c>
      <c r="AQ35">
        <f>AM35/0.000288307</f>
        <v>0.88794236699074247</v>
      </c>
      <c r="AR35">
        <f>AN35/1.40071410359145</f>
        <v>2.4055801189982158E-3</v>
      </c>
    </row>
    <row r="36" spans="1:44" ht="15" x14ac:dyDescent="0.35">
      <c r="A36" s="2">
        <v>0.08</v>
      </c>
      <c r="B36">
        <v>0.25</v>
      </c>
      <c r="C36">
        <v>2.479324E-4</v>
      </c>
      <c r="D36">
        <v>2.7640700000000001E-2</v>
      </c>
      <c r="E36">
        <v>2.7640600000000001E-2</v>
      </c>
      <c r="F36">
        <v>0.10341500000000001</v>
      </c>
      <c r="G36">
        <f t="shared" ref="G36:G62" si="21">C36/0.000288307</f>
        <v>0.85995969574099829</v>
      </c>
      <c r="H36">
        <f t="shared" ref="H36:H61" si="22">D36/1.40071410359145</f>
        <v>1.9733291703945059E-2</v>
      </c>
      <c r="J36">
        <v>0.08</v>
      </c>
      <c r="K36">
        <v>0.25</v>
      </c>
      <c r="L36">
        <v>1.55487E-4</v>
      </c>
      <c r="M36">
        <v>5.1318299999999997E-2</v>
      </c>
      <c r="N36">
        <v>5.1318099999999998E-2</v>
      </c>
      <c r="O36">
        <v>0.106762</v>
      </c>
      <c r="P36">
        <f t="shared" ref="P36:P62" si="23">L36/0.000185343</f>
        <v>0.83891487674204035</v>
      </c>
      <c r="Q36">
        <f t="shared" ref="Q36:Q61" si="24">M36/1.40071410359145</f>
        <v>3.6637240867653985E-2</v>
      </c>
      <c r="S36">
        <v>0.08</v>
      </c>
      <c r="T36">
        <v>0.25</v>
      </c>
      <c r="U36">
        <v>2.35336E-4</v>
      </c>
      <c r="V36">
        <v>4.49711E-2</v>
      </c>
      <c r="W36">
        <v>4.4970900000000001E-2</v>
      </c>
      <c r="X36">
        <v>0.10588599999999999</v>
      </c>
      <c r="Y36">
        <f t="shared" ref="Y36:Y62" si="25">U36/0.000288307</f>
        <v>0.81626876905520851</v>
      </c>
      <c r="Z36">
        <f t="shared" ref="Z36:Z61" si="26">V36/1.40071410359145</f>
        <v>3.210583793273266E-2</v>
      </c>
      <c r="AB36">
        <v>0.08</v>
      </c>
      <c r="AC36">
        <v>0.25</v>
      </c>
      <c r="AD36">
        <v>2.3019499999999999E-4</v>
      </c>
      <c r="AE36">
        <v>2.4983200000000001E-2</v>
      </c>
      <c r="AF36">
        <v>2.4983200000000001E-2</v>
      </c>
      <c r="AG36">
        <v>0.102496</v>
      </c>
      <c r="AH36">
        <f t="shared" si="20"/>
        <v>0.79843708269310132</v>
      </c>
      <c r="AI36">
        <f t="shared" ref="AI36:AI61" si="27">AE36/1.40071410359145</f>
        <v>1.7836045154355721E-2</v>
      </c>
      <c r="AK36">
        <v>0.08</v>
      </c>
      <c r="AL36">
        <v>0.25</v>
      </c>
      <c r="AM36">
        <v>2.337184E-4</v>
      </c>
      <c r="AN36">
        <v>2.3883600000000001E-2</v>
      </c>
      <c r="AO36">
        <v>2.3883600000000001E-2</v>
      </c>
      <c r="AP36">
        <v>0.102418</v>
      </c>
      <c r="AQ36">
        <f t="shared" ref="AQ36:AQ61" si="28">AM36/0.000288307</f>
        <v>0.81065808322378574</v>
      </c>
      <c r="AR36">
        <f t="shared" ref="AR36:AR61" si="29">AN36/1.40071410359145</f>
        <v>1.7051017005370421E-2</v>
      </c>
    </row>
    <row r="37" spans="1:44" ht="15" x14ac:dyDescent="0.35">
      <c r="A37" s="2">
        <v>0.12</v>
      </c>
      <c r="B37">
        <v>0.375</v>
      </c>
      <c r="C37">
        <v>2.2933900000000001E-4</v>
      </c>
      <c r="D37">
        <v>6.4991900000000005E-2</v>
      </c>
      <c r="E37">
        <v>6.4991599999999997E-2</v>
      </c>
      <c r="F37">
        <v>0.11260299999999999</v>
      </c>
      <c r="G37">
        <f t="shared" si="21"/>
        <v>0.79546802540347616</v>
      </c>
      <c r="H37">
        <f t="shared" si="22"/>
        <v>4.6399118730481748E-2</v>
      </c>
      <c r="J37">
        <v>0.12</v>
      </c>
      <c r="K37">
        <v>0.375</v>
      </c>
      <c r="L37">
        <v>1.3615099999999999E-4</v>
      </c>
      <c r="M37">
        <v>9.0926499999999993E-2</v>
      </c>
      <c r="N37">
        <v>9.0926000000000007E-2</v>
      </c>
      <c r="O37">
        <v>0.12102</v>
      </c>
      <c r="P37">
        <f t="shared" si="23"/>
        <v>0.73458938292786879</v>
      </c>
      <c r="Q37">
        <f t="shared" si="24"/>
        <v>6.4914388858413871E-2</v>
      </c>
      <c r="S37">
        <v>0.12</v>
      </c>
      <c r="T37">
        <v>0.375</v>
      </c>
      <c r="U37">
        <v>1.8939200000000001E-4</v>
      </c>
      <c r="V37">
        <v>8.4085999999999994E-2</v>
      </c>
      <c r="W37">
        <v>8.4085599999999996E-2</v>
      </c>
      <c r="X37">
        <v>0.118808</v>
      </c>
      <c r="Y37">
        <f t="shared" si="25"/>
        <v>0.65691086237933871</v>
      </c>
      <c r="Z37">
        <f t="shared" si="26"/>
        <v>6.0030808417222574E-2</v>
      </c>
      <c r="AB37">
        <v>0.12</v>
      </c>
      <c r="AC37">
        <v>0.375</v>
      </c>
      <c r="AD37">
        <v>1.89533E-4</v>
      </c>
      <c r="AE37">
        <v>6.4869300000000005E-2</v>
      </c>
      <c r="AF37">
        <v>6.4868999999999996E-2</v>
      </c>
      <c r="AG37">
        <v>0.111469</v>
      </c>
      <c r="AH37">
        <f t="shared" si="20"/>
        <v>0.6573999243861578</v>
      </c>
      <c r="AI37">
        <f t="shared" si="27"/>
        <v>4.6311591947046322E-2</v>
      </c>
      <c r="AK37">
        <v>0.12</v>
      </c>
      <c r="AL37">
        <v>0.375</v>
      </c>
      <c r="AM37">
        <v>1.7590600000000001E-4</v>
      </c>
      <c r="AN37">
        <v>6.4263399999999998E-2</v>
      </c>
      <c r="AO37">
        <v>6.4263200000000006E-2</v>
      </c>
      <c r="AP37">
        <v>0.111197</v>
      </c>
      <c r="AQ37">
        <f t="shared" si="28"/>
        <v>0.61013433596825606</v>
      </c>
      <c r="AR37">
        <f t="shared" si="29"/>
        <v>4.5879026872955558E-2</v>
      </c>
    </row>
    <row r="38" spans="1:44" ht="15" x14ac:dyDescent="0.35">
      <c r="A38" s="2">
        <v>0.16</v>
      </c>
      <c r="B38">
        <v>0.5</v>
      </c>
      <c r="C38">
        <v>2.0591699999999999E-4</v>
      </c>
      <c r="D38">
        <v>0.102573</v>
      </c>
      <c r="E38">
        <v>0.102573</v>
      </c>
      <c r="F38">
        <v>0.12939500000000001</v>
      </c>
      <c r="G38">
        <f t="shared" si="21"/>
        <v>0.71422823587356521</v>
      </c>
      <c r="H38">
        <f t="shared" si="22"/>
        <v>7.3229076323998901E-2</v>
      </c>
      <c r="J38">
        <v>0.16</v>
      </c>
      <c r="K38">
        <v>0.5</v>
      </c>
      <c r="L38">
        <v>1.2489700000000001E-4</v>
      </c>
      <c r="M38">
        <v>0.12746499999999999</v>
      </c>
      <c r="N38">
        <v>0.12746499999999999</v>
      </c>
      <c r="O38">
        <v>0.14293</v>
      </c>
      <c r="P38">
        <f t="shared" si="23"/>
        <v>0.67386952838790781</v>
      </c>
      <c r="Q38">
        <f t="shared" si="24"/>
        <v>9.100001183194914E-2</v>
      </c>
      <c r="S38">
        <v>0.16</v>
      </c>
      <c r="T38">
        <v>0.5</v>
      </c>
      <c r="U38">
        <v>1.6451000000000001E-4</v>
      </c>
      <c r="V38">
        <v>0.120769</v>
      </c>
      <c r="W38">
        <v>0.120768</v>
      </c>
      <c r="X38">
        <v>0.13935600000000001</v>
      </c>
      <c r="Y38">
        <f t="shared" si="25"/>
        <v>0.5706070265376838</v>
      </c>
      <c r="Z38">
        <f t="shared" si="26"/>
        <v>8.6219593056389335E-2</v>
      </c>
      <c r="AB38">
        <v>0.16</v>
      </c>
      <c r="AC38">
        <v>0.5</v>
      </c>
      <c r="AD38">
        <v>1.5005199999999999E-4</v>
      </c>
      <c r="AE38">
        <v>0.103433</v>
      </c>
      <c r="AF38">
        <v>0.103433</v>
      </c>
      <c r="AG38">
        <v>0.12834000000000001</v>
      </c>
      <c r="AH38">
        <f t="shared" si="20"/>
        <v>0.52045909395193313</v>
      </c>
      <c r="AI38">
        <f t="shared" si="27"/>
        <v>7.3843048866857539E-2</v>
      </c>
      <c r="AK38">
        <v>0.16</v>
      </c>
      <c r="AL38">
        <v>0.5</v>
      </c>
      <c r="AM38">
        <v>1.2994800000000001E-4</v>
      </c>
      <c r="AN38">
        <v>0.10353800000000001</v>
      </c>
      <c r="AO38">
        <v>0.10353800000000001</v>
      </c>
      <c r="AP38">
        <v>0.128024</v>
      </c>
      <c r="AQ38">
        <f t="shared" si="28"/>
        <v>0.45072786994419145</v>
      </c>
      <c r="AR38">
        <f t="shared" si="29"/>
        <v>7.3918010630811215E-2</v>
      </c>
    </row>
    <row r="39" spans="1:44" ht="15" x14ac:dyDescent="0.35">
      <c r="A39" s="2">
        <v>0.2</v>
      </c>
      <c r="B39">
        <v>0.625</v>
      </c>
      <c r="C39">
        <v>1.9127099999999999E-4</v>
      </c>
      <c r="D39">
        <v>0.13655900000000001</v>
      </c>
      <c r="E39">
        <v>0.13655800000000001</v>
      </c>
      <c r="F39">
        <v>0.153392</v>
      </c>
      <c r="G39">
        <f t="shared" si="21"/>
        <v>0.66342822061205586</v>
      </c>
      <c r="H39">
        <f t="shared" si="22"/>
        <v>9.7492414511898523E-2</v>
      </c>
      <c r="J39">
        <v>0.2</v>
      </c>
      <c r="K39">
        <v>0.625</v>
      </c>
      <c r="L39">
        <v>1.17927E-4</v>
      </c>
      <c r="M39">
        <v>0.15839400000000001</v>
      </c>
      <c r="N39">
        <v>0.15839300000000001</v>
      </c>
      <c r="O39">
        <v>0.17163400000000001</v>
      </c>
      <c r="P39">
        <f t="shared" si="23"/>
        <v>0.6362635761803791</v>
      </c>
      <c r="Q39">
        <f t="shared" si="24"/>
        <v>0.11308089180645474</v>
      </c>
      <c r="S39">
        <v>0.2</v>
      </c>
      <c r="T39">
        <v>0.625</v>
      </c>
      <c r="U39">
        <v>1.4974000000000001E-4</v>
      </c>
      <c r="V39">
        <v>0.15242800000000001</v>
      </c>
      <c r="W39">
        <v>0.15242700000000001</v>
      </c>
      <c r="X39">
        <v>0.16678000000000001</v>
      </c>
      <c r="Y39">
        <f t="shared" si="25"/>
        <v>0.51937691419216325</v>
      </c>
      <c r="Z39">
        <f t="shared" si="26"/>
        <v>0.10882163577076331</v>
      </c>
      <c r="AB39">
        <v>0.2</v>
      </c>
      <c r="AC39">
        <v>0.625</v>
      </c>
      <c r="AD39">
        <v>1.2913900000000001E-4</v>
      </c>
      <c r="AE39">
        <v>0.13819400000000001</v>
      </c>
      <c r="AF39">
        <v>0.13819300000000001</v>
      </c>
      <c r="AG39">
        <v>0.152588</v>
      </c>
      <c r="AH39">
        <f t="shared" si="20"/>
        <v>0.44792183332350588</v>
      </c>
      <c r="AI39">
        <f t="shared" si="27"/>
        <v>9.8659676264891388E-2</v>
      </c>
      <c r="AK39">
        <v>0.2</v>
      </c>
      <c r="AL39">
        <v>0.625</v>
      </c>
      <c r="AM39">
        <v>1.05883E-4</v>
      </c>
      <c r="AN39">
        <v>0.13875799999999999</v>
      </c>
      <c r="AO39">
        <v>0.13875699999999999</v>
      </c>
      <c r="AP39">
        <v>0.15234700000000001</v>
      </c>
      <c r="AQ39">
        <f t="shared" si="28"/>
        <v>0.36725781892219056</v>
      </c>
      <c r="AR39">
        <f t="shared" si="29"/>
        <v>9.9062328025556812E-2</v>
      </c>
    </row>
    <row r="40" spans="1:44" ht="15" x14ac:dyDescent="0.35">
      <c r="A40" s="2">
        <v>0.24000000000000002</v>
      </c>
      <c r="B40">
        <v>0.75</v>
      </c>
      <c r="C40">
        <v>1.8218299999999999E-4</v>
      </c>
      <c r="D40">
        <v>0.16442899999999999</v>
      </c>
      <c r="E40">
        <v>0.16442799999999999</v>
      </c>
      <c r="F40">
        <v>0.18360799999999999</v>
      </c>
      <c r="G40">
        <f t="shared" si="21"/>
        <v>0.63190626658388449</v>
      </c>
      <c r="H40">
        <f t="shared" si="22"/>
        <v>0.11738940842988715</v>
      </c>
      <c r="J40">
        <v>0.24000000000000002</v>
      </c>
      <c r="K40">
        <v>0.75</v>
      </c>
      <c r="L40">
        <v>1.1406800000000001E-4</v>
      </c>
      <c r="M40">
        <v>0.18142800000000001</v>
      </c>
      <c r="N40">
        <v>0.181427</v>
      </c>
      <c r="O40">
        <v>0.205762</v>
      </c>
      <c r="P40">
        <f t="shared" si="23"/>
        <v>0.61544271971425957</v>
      </c>
      <c r="Q40">
        <f t="shared" si="24"/>
        <v>0.12952536105320575</v>
      </c>
      <c r="S40">
        <v>0.24000000000000002</v>
      </c>
      <c r="T40">
        <v>0.75</v>
      </c>
      <c r="U40">
        <v>1.41316E-4</v>
      </c>
      <c r="V40">
        <v>0.17677699999999999</v>
      </c>
      <c r="W40">
        <v>0.17677599999999999</v>
      </c>
      <c r="X40">
        <v>0.19983799999999999</v>
      </c>
      <c r="Y40">
        <f t="shared" si="25"/>
        <v>0.49015806067837409</v>
      </c>
      <c r="Z40">
        <f t="shared" si="26"/>
        <v>0.12620491187083885</v>
      </c>
      <c r="AB40">
        <v>0.24000000000000002</v>
      </c>
      <c r="AC40">
        <v>0.75</v>
      </c>
      <c r="AD40">
        <v>1.1598499999999999E-4</v>
      </c>
      <c r="AE40">
        <v>0.16638</v>
      </c>
      <c r="AF40">
        <v>0.166378</v>
      </c>
      <c r="AG40">
        <v>0.18317800000000001</v>
      </c>
      <c r="AH40">
        <f t="shared" si="20"/>
        <v>0.40229685716961427</v>
      </c>
      <c r="AI40">
        <f t="shared" si="27"/>
        <v>0.1187822693963025</v>
      </c>
      <c r="AK40">
        <v>0.24000000000000002</v>
      </c>
      <c r="AL40">
        <v>0.75</v>
      </c>
      <c r="AM40" s="1">
        <v>9.3200000000000002E-5</v>
      </c>
      <c r="AN40">
        <v>0.167043</v>
      </c>
      <c r="AO40">
        <v>0.167042</v>
      </c>
      <c r="AP40">
        <v>0.18306600000000001</v>
      </c>
      <c r="AQ40">
        <f t="shared" si="28"/>
        <v>0.32326651798256717</v>
      </c>
      <c r="AR40">
        <f t="shared" si="29"/>
        <v>0.11925559939155282</v>
      </c>
    </row>
    <row r="41" spans="1:44" ht="15" x14ac:dyDescent="0.35">
      <c r="A41" s="2">
        <v>0.28000000000000003</v>
      </c>
      <c r="B41">
        <v>0.87500000000000011</v>
      </c>
      <c r="C41">
        <v>1.7725400000000001E-4</v>
      </c>
      <c r="D41">
        <v>0.18455299999999999</v>
      </c>
      <c r="E41">
        <v>0.18455199999999999</v>
      </c>
      <c r="F41">
        <v>0.21864500000000001</v>
      </c>
      <c r="G41">
        <f t="shared" si="21"/>
        <v>0.61480990749444164</v>
      </c>
      <c r="H41">
        <f t="shared" si="22"/>
        <v>0.13175636593277928</v>
      </c>
      <c r="J41">
        <v>0.28000000000000003</v>
      </c>
      <c r="K41">
        <v>0.87500000000000011</v>
      </c>
      <c r="L41">
        <v>1.12403E-4</v>
      </c>
      <c r="M41">
        <v>0.19575000000000001</v>
      </c>
      <c r="N41">
        <v>0.19574800000000001</v>
      </c>
      <c r="O41">
        <v>0.24362600000000001</v>
      </c>
      <c r="P41">
        <f t="shared" si="23"/>
        <v>0.60645937532035199</v>
      </c>
      <c r="Q41">
        <f t="shared" si="24"/>
        <v>0.13975014565648644</v>
      </c>
      <c r="S41">
        <v>0.28000000000000003</v>
      </c>
      <c r="T41">
        <v>0.87500000000000011</v>
      </c>
      <c r="U41">
        <v>1.3752400000000001E-4</v>
      </c>
      <c r="V41">
        <v>0.19264500000000001</v>
      </c>
      <c r="W41">
        <v>0.19264400000000001</v>
      </c>
      <c r="X41">
        <v>0.236926</v>
      </c>
      <c r="Y41">
        <f t="shared" si="25"/>
        <v>0.47700541436732374</v>
      </c>
      <c r="Z41">
        <f t="shared" si="26"/>
        <v>0.13753341920814219</v>
      </c>
      <c r="AB41">
        <v>0.28000000000000003</v>
      </c>
      <c r="AC41">
        <v>0.87500000000000011</v>
      </c>
      <c r="AD41">
        <v>1.07966E-4</v>
      </c>
      <c r="AE41">
        <v>0.19694800000000001</v>
      </c>
      <c r="AF41">
        <v>0.19694600000000001</v>
      </c>
      <c r="AG41">
        <v>0.25700899999999999</v>
      </c>
      <c r="AH41">
        <f t="shared" si="20"/>
        <v>0.37448275622860355</v>
      </c>
      <c r="AI41">
        <f t="shared" si="27"/>
        <v>0.14060542368711976</v>
      </c>
      <c r="AK41">
        <v>0.28000000000000003</v>
      </c>
      <c r="AL41">
        <v>0.87500000000000011</v>
      </c>
      <c r="AM41" s="1">
        <v>8.4900000000000004E-5</v>
      </c>
      <c r="AN41">
        <v>0.197186</v>
      </c>
      <c r="AO41">
        <v>0.197185</v>
      </c>
      <c r="AP41">
        <v>0.25709399999999999</v>
      </c>
      <c r="AQ41">
        <f t="shared" si="28"/>
        <v>0.29447776155278921</v>
      </c>
      <c r="AR41">
        <f t="shared" si="29"/>
        <v>0.14077533701874809</v>
      </c>
    </row>
    <row r="42" spans="1:44" ht="15" x14ac:dyDescent="0.35">
      <c r="A42" s="2">
        <v>0.32</v>
      </c>
      <c r="B42">
        <v>1</v>
      </c>
      <c r="C42">
        <v>1.7539899999999999E-4</v>
      </c>
      <c r="D42">
        <v>0.19656699999999999</v>
      </c>
      <c r="E42">
        <v>0.19656599999999999</v>
      </c>
      <c r="F42">
        <v>0.25688899999999998</v>
      </c>
      <c r="G42">
        <f t="shared" si="21"/>
        <v>0.60837579385862983</v>
      </c>
      <c r="H42">
        <f t="shared" si="22"/>
        <v>0.14033341957220216</v>
      </c>
      <c r="J42">
        <v>0.32</v>
      </c>
      <c r="K42">
        <v>1</v>
      </c>
      <c r="L42">
        <v>1.12346E-4</v>
      </c>
      <c r="M42">
        <v>0.20202899999999999</v>
      </c>
      <c r="N42">
        <v>0.20202700000000001</v>
      </c>
      <c r="O42">
        <v>0.28352899999999998</v>
      </c>
      <c r="P42">
        <f t="shared" si="23"/>
        <v>0.60615183740416412</v>
      </c>
      <c r="Q42">
        <f t="shared" si="24"/>
        <v>0.14423285914091596</v>
      </c>
      <c r="S42">
        <v>0.32</v>
      </c>
      <c r="T42">
        <v>1</v>
      </c>
      <c r="U42">
        <v>1.38188E-4</v>
      </c>
      <c r="V42">
        <v>0.20033899999999999</v>
      </c>
      <c r="W42">
        <v>0.20033699999999999</v>
      </c>
      <c r="X42">
        <v>0.27635100000000001</v>
      </c>
      <c r="Y42">
        <f t="shared" si="25"/>
        <v>0.47930851488170595</v>
      </c>
      <c r="Z42">
        <f t="shared" si="26"/>
        <v>0.1430263317020426</v>
      </c>
      <c r="AB42">
        <v>0.32</v>
      </c>
      <c r="AC42">
        <v>1</v>
      </c>
      <c r="AD42">
        <v>1.08557E-4</v>
      </c>
      <c r="AE42">
        <v>0.200215</v>
      </c>
      <c r="AF42">
        <v>0.200213</v>
      </c>
      <c r="AG42">
        <v>0.29684300000000002</v>
      </c>
      <c r="AH42">
        <f t="shared" si="20"/>
        <v>0.37653265442739853</v>
      </c>
      <c r="AI42">
        <f t="shared" si="27"/>
        <v>0.14293780542842113</v>
      </c>
      <c r="AK42">
        <v>0.32</v>
      </c>
      <c r="AL42">
        <v>1</v>
      </c>
      <c r="AM42" s="1">
        <v>8.5199999999999997E-5</v>
      </c>
      <c r="AN42">
        <v>0.20027200000000001</v>
      </c>
      <c r="AO42">
        <v>0.200271</v>
      </c>
      <c r="AP42">
        <v>0.296956</v>
      </c>
      <c r="AQ42">
        <f t="shared" si="28"/>
        <v>0.29551831901410647</v>
      </c>
      <c r="AR42">
        <f t="shared" si="29"/>
        <v>0.14297849895742454</v>
      </c>
    </row>
    <row r="43" spans="1:44" ht="15" x14ac:dyDescent="0.35">
      <c r="A43" s="2">
        <v>0.36</v>
      </c>
      <c r="B43">
        <v>1.125</v>
      </c>
      <c r="C43">
        <v>1.7552999999999999E-4</v>
      </c>
      <c r="D43">
        <v>0.201261</v>
      </c>
      <c r="E43">
        <v>0.20125899999999999</v>
      </c>
      <c r="F43">
        <v>0.29678700000000002</v>
      </c>
      <c r="G43">
        <f t="shared" si="21"/>
        <v>0.60883017061673839</v>
      </c>
      <c r="H43">
        <f t="shared" si="22"/>
        <v>0.14368456738171198</v>
      </c>
      <c r="J43">
        <v>0.36</v>
      </c>
      <c r="K43">
        <v>1.125</v>
      </c>
      <c r="L43">
        <v>1.1340699999999999E-4</v>
      </c>
      <c r="M43">
        <v>0.20172499999999999</v>
      </c>
      <c r="N43">
        <v>0.20172300000000001</v>
      </c>
      <c r="O43">
        <v>0.32400299999999999</v>
      </c>
      <c r="P43">
        <f t="shared" si="23"/>
        <v>0.61187635896688841</v>
      </c>
      <c r="Q43">
        <f t="shared" si="24"/>
        <v>0.14401582698623105</v>
      </c>
      <c r="S43">
        <v>0.36</v>
      </c>
      <c r="T43">
        <v>1.125</v>
      </c>
      <c r="U43">
        <v>1.37992E-4</v>
      </c>
      <c r="V43">
        <v>0.20132900000000001</v>
      </c>
      <c r="W43">
        <v>0.20132800000000001</v>
      </c>
      <c r="X43">
        <v>0.31662200000000001</v>
      </c>
      <c r="Y43">
        <f t="shared" si="25"/>
        <v>0.47862868400697867</v>
      </c>
      <c r="Z43">
        <f t="shared" si="26"/>
        <v>0.14373311404789149</v>
      </c>
      <c r="AB43">
        <v>0.36</v>
      </c>
      <c r="AC43">
        <v>1.125</v>
      </c>
      <c r="AD43">
        <v>1.1067499999999999E-4</v>
      </c>
      <c r="AE43">
        <v>0.19750400000000001</v>
      </c>
      <c r="AF43">
        <v>0.19750200000000001</v>
      </c>
      <c r="AG43">
        <v>0.33670099999999997</v>
      </c>
      <c r="AH43">
        <f t="shared" si="20"/>
        <v>0.38387899010429849</v>
      </c>
      <c r="AI43">
        <f t="shared" si="27"/>
        <v>0.14100236407529348</v>
      </c>
      <c r="AK43">
        <v>0.36</v>
      </c>
      <c r="AL43">
        <v>1.125</v>
      </c>
      <c r="AM43" s="1">
        <v>8.6700000000000007E-5</v>
      </c>
      <c r="AN43">
        <v>0.19764699999999999</v>
      </c>
      <c r="AO43">
        <v>0.19764599999999999</v>
      </c>
      <c r="AP43">
        <v>0.33682899999999999</v>
      </c>
      <c r="AQ43">
        <f t="shared" si="28"/>
        <v>0.30072110632069288</v>
      </c>
      <c r="AR43">
        <f t="shared" si="29"/>
        <v>0.14110445485858275</v>
      </c>
    </row>
    <row r="44" spans="1:44" ht="15" x14ac:dyDescent="0.35">
      <c r="A44" s="2">
        <v>0.39999999999999997</v>
      </c>
      <c r="B44">
        <v>1.2499999999999998</v>
      </c>
      <c r="C44">
        <v>1.7700600000000001E-4</v>
      </c>
      <c r="D44">
        <v>0.20005899999999999</v>
      </c>
      <c r="E44">
        <v>0.20005800000000001</v>
      </c>
      <c r="F44">
        <v>0.337003</v>
      </c>
      <c r="G44">
        <f t="shared" si="21"/>
        <v>0.61394971332641934</v>
      </c>
      <c r="H44">
        <f t="shared" si="22"/>
        <v>0.1428264336648328</v>
      </c>
      <c r="J44">
        <v>0.39999999999999997</v>
      </c>
      <c r="K44">
        <v>1.2499999999999998</v>
      </c>
      <c r="L44">
        <v>1.14879E-4</v>
      </c>
      <c r="M44">
        <v>0.196737</v>
      </c>
      <c r="N44">
        <v>0.19673599999999999</v>
      </c>
      <c r="O44">
        <v>0.36391200000000001</v>
      </c>
      <c r="P44">
        <f t="shared" si="23"/>
        <v>0.61981839076738798</v>
      </c>
      <c r="Q44">
        <f t="shared" si="24"/>
        <v>0.14045478623765095</v>
      </c>
      <c r="S44">
        <v>0.39999999999999997</v>
      </c>
      <c r="T44">
        <v>1.2499999999999998</v>
      </c>
      <c r="U44">
        <v>1.40347E-4</v>
      </c>
      <c r="V44">
        <v>0.197243</v>
      </c>
      <c r="W44">
        <v>0.197242</v>
      </c>
      <c r="X44">
        <v>0.356549</v>
      </c>
      <c r="Y44">
        <f t="shared" si="25"/>
        <v>0.4867970600783193</v>
      </c>
      <c r="Z44">
        <f t="shared" si="26"/>
        <v>0.14081603054775149</v>
      </c>
      <c r="AB44">
        <v>0.39999999999999997</v>
      </c>
      <c r="AC44">
        <v>1.2499999999999998</v>
      </c>
      <c r="AD44">
        <v>1.1335100000000001E-4</v>
      </c>
      <c r="AE44">
        <v>0.19119700000000001</v>
      </c>
      <c r="AF44">
        <v>0.191196</v>
      </c>
      <c r="AG44">
        <v>0.37560500000000002</v>
      </c>
      <c r="AH44">
        <f t="shared" si="20"/>
        <v>0.39316076265924865</v>
      </c>
      <c r="AI44">
        <f t="shared" si="27"/>
        <v>0.13649966078714298</v>
      </c>
      <c r="AK44">
        <v>0.39999999999999997</v>
      </c>
      <c r="AL44">
        <v>1.2499999999999998</v>
      </c>
      <c r="AM44" s="1">
        <v>8.8399999999999994E-5</v>
      </c>
      <c r="AN44">
        <v>0.191885</v>
      </c>
      <c r="AO44">
        <v>0.191884</v>
      </c>
      <c r="AP44">
        <v>0.37580999999999998</v>
      </c>
      <c r="AQ44">
        <f t="shared" si="28"/>
        <v>0.30661759860149074</v>
      </c>
      <c r="AR44">
        <f t="shared" si="29"/>
        <v>0.1369908388214299</v>
      </c>
    </row>
    <row r="45" spans="1:44" ht="15" x14ac:dyDescent="0.35">
      <c r="A45" s="2">
        <v>0.43999999999999995</v>
      </c>
      <c r="B45">
        <v>1.3749999999999998</v>
      </c>
      <c r="C45">
        <v>1.79304E-4</v>
      </c>
      <c r="D45">
        <v>0.19469900000000001</v>
      </c>
      <c r="E45">
        <v>0.19469800000000001</v>
      </c>
      <c r="F45">
        <v>0.37653399999999998</v>
      </c>
      <c r="G45">
        <f t="shared" si="21"/>
        <v>0.6219203834801097</v>
      </c>
      <c r="H45">
        <f t="shared" si="22"/>
        <v>0.13899981409538828</v>
      </c>
      <c r="J45">
        <v>0.43999999999999995</v>
      </c>
      <c r="K45">
        <v>1.3749999999999998</v>
      </c>
      <c r="L45">
        <v>1.1637399999999999E-4</v>
      </c>
      <c r="M45">
        <v>0.190029</v>
      </c>
      <c r="N45">
        <v>0.190028</v>
      </c>
      <c r="O45">
        <v>0.40259</v>
      </c>
      <c r="P45">
        <f t="shared" si="23"/>
        <v>0.62788451681477042</v>
      </c>
      <c r="Q45">
        <f t="shared" si="24"/>
        <v>0.13566580040335358</v>
      </c>
      <c r="S45">
        <v>0.43999999999999995</v>
      </c>
      <c r="T45">
        <v>1.3749999999999998</v>
      </c>
      <c r="U45">
        <v>1.42955E-4</v>
      </c>
      <c r="V45">
        <v>0.19067300000000001</v>
      </c>
      <c r="W45">
        <v>0.19067200000000001</v>
      </c>
      <c r="X45">
        <v>0.39535599999999999</v>
      </c>
      <c r="Y45">
        <f t="shared" si="25"/>
        <v>0.49584297294203744</v>
      </c>
      <c r="Z45">
        <f t="shared" si="26"/>
        <v>0.1361255658889361</v>
      </c>
      <c r="AB45">
        <v>0.43999999999999995</v>
      </c>
      <c r="AC45">
        <v>1.3749999999999998</v>
      </c>
      <c r="AD45">
        <v>1.15476E-4</v>
      </c>
      <c r="AE45">
        <v>0.18548700000000001</v>
      </c>
      <c r="AF45">
        <v>0.18548600000000001</v>
      </c>
      <c r="AG45">
        <v>0.41323199999999999</v>
      </c>
      <c r="AH45">
        <f t="shared" si="20"/>
        <v>0.40053137801024602</v>
      </c>
      <c r="AI45">
        <f t="shared" si="27"/>
        <v>0.13242316867118623</v>
      </c>
      <c r="AK45">
        <v>0.43999999999999995</v>
      </c>
      <c r="AL45">
        <v>1.3749999999999998</v>
      </c>
      <c r="AM45" s="1">
        <v>8.8700000000000001E-5</v>
      </c>
      <c r="AN45">
        <v>0.18751000000000001</v>
      </c>
      <c r="AO45">
        <v>0.18750900000000001</v>
      </c>
      <c r="AP45">
        <v>0.41369</v>
      </c>
      <c r="AQ45">
        <f t="shared" si="28"/>
        <v>0.30765815606280805</v>
      </c>
      <c r="AR45">
        <f t="shared" si="29"/>
        <v>0.13386743199002696</v>
      </c>
    </row>
    <row r="46" spans="1:44" ht="15" x14ac:dyDescent="0.35">
      <c r="A46" s="2">
        <v>0.47999999999999993</v>
      </c>
      <c r="B46">
        <v>1.4999999999999998</v>
      </c>
      <c r="C46">
        <v>1.8163000000000001E-4</v>
      </c>
      <c r="D46">
        <v>0.187615</v>
      </c>
      <c r="E46">
        <v>0.187614</v>
      </c>
      <c r="F46">
        <v>0.41477000000000003</v>
      </c>
      <c r="G46">
        <f t="shared" si="21"/>
        <v>0.62998817233018967</v>
      </c>
      <c r="H46">
        <f t="shared" si="22"/>
        <v>0.13394239375398062</v>
      </c>
      <c r="J46">
        <v>0.47999999999999993</v>
      </c>
      <c r="K46">
        <v>1.4999999999999998</v>
      </c>
      <c r="L46">
        <v>1.1747300000000001E-4</v>
      </c>
      <c r="M46">
        <v>0.184942</v>
      </c>
      <c r="N46">
        <v>0.18494099999999999</v>
      </c>
      <c r="O46">
        <v>0.44005300000000003</v>
      </c>
      <c r="P46">
        <f t="shared" si="23"/>
        <v>0.6338140636549533</v>
      </c>
      <c r="Q46">
        <f t="shared" si="24"/>
        <v>0.13203408142018858</v>
      </c>
      <c r="S46">
        <v>0.47999999999999993</v>
      </c>
      <c r="T46">
        <v>1.4999999999999998</v>
      </c>
      <c r="U46">
        <v>1.45062E-4</v>
      </c>
      <c r="V46">
        <v>0.18507999999999999</v>
      </c>
      <c r="W46">
        <v>0.18507999999999999</v>
      </c>
      <c r="X46">
        <v>0.43289899999999998</v>
      </c>
      <c r="Y46">
        <f t="shared" si="25"/>
        <v>0.50315115484535577</v>
      </c>
      <c r="Z46">
        <f t="shared" si="26"/>
        <v>0.13213260259567056</v>
      </c>
      <c r="AB46">
        <v>0.47999999999999993</v>
      </c>
      <c r="AC46">
        <v>1.4999999999999998</v>
      </c>
      <c r="AD46">
        <v>1.1634899999999999E-4</v>
      </c>
      <c r="AE46">
        <v>0.18235499999999999</v>
      </c>
      <c r="AF46">
        <v>0.18235399999999999</v>
      </c>
      <c r="AG46">
        <v>0.44998500000000002</v>
      </c>
      <c r="AH46">
        <f t="shared" si="20"/>
        <v>0.40355940022267928</v>
      </c>
      <c r="AI46">
        <f t="shared" si="27"/>
        <v>0.13018716634068242</v>
      </c>
      <c r="AK46">
        <v>0.47999999999999993</v>
      </c>
      <c r="AL46">
        <v>1.4999999999999998</v>
      </c>
      <c r="AM46" s="1">
        <v>8.7600000000000002E-5</v>
      </c>
      <c r="AN46">
        <v>0.18681600000000001</v>
      </c>
      <c r="AO46">
        <v>0.18681500000000001</v>
      </c>
      <c r="AP46">
        <v>0.45107799999999998</v>
      </c>
      <c r="AQ46">
        <f t="shared" si="28"/>
        <v>0.30384277870464471</v>
      </c>
      <c r="AR46">
        <f t="shared" si="29"/>
        <v>0.13337197042637125</v>
      </c>
    </row>
    <row r="47" spans="1:44" ht="15" x14ac:dyDescent="0.35">
      <c r="A47" s="2">
        <v>0.51999999999999991</v>
      </c>
      <c r="B47">
        <v>1.6249999999999998</v>
      </c>
      <c r="C47">
        <v>1.8356199999999999E-4</v>
      </c>
      <c r="D47">
        <v>0.18179000000000001</v>
      </c>
      <c r="E47">
        <v>0.18178900000000001</v>
      </c>
      <c r="F47">
        <v>0.45167400000000002</v>
      </c>
      <c r="G47">
        <f t="shared" si="21"/>
        <v>0.63668936238107288</v>
      </c>
      <c r="H47">
        <f t="shared" si="22"/>
        <v>0.12978380065845554</v>
      </c>
      <c r="J47">
        <v>0.51999999999999991</v>
      </c>
      <c r="K47">
        <v>1.6249999999999998</v>
      </c>
      <c r="L47">
        <v>1.17755E-4</v>
      </c>
      <c r="M47">
        <v>0.18202499999999999</v>
      </c>
      <c r="N47">
        <v>0.18202399999999999</v>
      </c>
      <c r="O47">
        <v>0.47672500000000001</v>
      </c>
      <c r="P47">
        <f t="shared" si="23"/>
        <v>0.63533556702977723</v>
      </c>
      <c r="Q47">
        <f t="shared" si="24"/>
        <v>0.12995157222539946</v>
      </c>
      <c r="S47">
        <v>0.51999999999999991</v>
      </c>
      <c r="T47">
        <v>1.6249999999999998</v>
      </c>
      <c r="U47">
        <v>1.4636E-4</v>
      </c>
      <c r="V47">
        <v>0.18167</v>
      </c>
      <c r="W47">
        <v>0.181669</v>
      </c>
      <c r="X47">
        <v>0.46954299999999999</v>
      </c>
      <c r="Y47">
        <f t="shared" si="25"/>
        <v>0.50765330012798859</v>
      </c>
      <c r="Z47">
        <f t="shared" si="26"/>
        <v>0.12969813007107991</v>
      </c>
      <c r="AB47">
        <v>0.51999999999999991</v>
      </c>
      <c r="AC47">
        <v>1.6249999999999998</v>
      </c>
      <c r="AD47">
        <v>1.18566E-4</v>
      </c>
      <c r="AE47">
        <v>0.180983</v>
      </c>
      <c r="AF47">
        <v>0.180982</v>
      </c>
      <c r="AG47">
        <v>0.48629699999999998</v>
      </c>
      <c r="AH47">
        <f t="shared" si="20"/>
        <v>0.41124911986181395</v>
      </c>
      <c r="AI47">
        <f t="shared" si="27"/>
        <v>0.12920766595835448</v>
      </c>
      <c r="AK47">
        <v>0.51999999999999991</v>
      </c>
      <c r="AL47">
        <v>1.6249999999999998</v>
      </c>
      <c r="AM47" s="1">
        <v>8.5400000000000002E-5</v>
      </c>
      <c r="AN47">
        <v>0.18845799999999999</v>
      </c>
      <c r="AO47">
        <v>0.18845700000000001</v>
      </c>
      <c r="AP47">
        <v>0.48857699999999998</v>
      </c>
      <c r="AQ47">
        <f t="shared" si="28"/>
        <v>0.29621202398831797</v>
      </c>
      <c r="AR47">
        <f t="shared" si="29"/>
        <v>0.13454422963029436</v>
      </c>
    </row>
    <row r="48" spans="1:44" ht="15" x14ac:dyDescent="0.35">
      <c r="A48" s="2">
        <v>0.55999999999999994</v>
      </c>
      <c r="B48">
        <v>1.7499999999999998</v>
      </c>
      <c r="C48">
        <v>1.84842E-4</v>
      </c>
      <c r="D48">
        <v>0.17843400000000001</v>
      </c>
      <c r="E48">
        <v>0.17843300000000001</v>
      </c>
      <c r="F48">
        <v>0.48766100000000001</v>
      </c>
      <c r="G48">
        <f t="shared" si="21"/>
        <v>0.64112907421602661</v>
      </c>
      <c r="H48">
        <f t="shared" si="22"/>
        <v>0.12738787989818393</v>
      </c>
      <c r="J48">
        <v>0.55999999999999994</v>
      </c>
      <c r="K48">
        <v>1.7499999999999998</v>
      </c>
      <c r="L48">
        <v>1.18062E-4</v>
      </c>
      <c r="M48">
        <v>0.18062700000000001</v>
      </c>
      <c r="N48">
        <v>0.18062600000000001</v>
      </c>
      <c r="O48">
        <v>0.51297099999999995</v>
      </c>
      <c r="P48">
        <f t="shared" si="23"/>
        <v>0.63699195545556075</v>
      </c>
      <c r="Q48">
        <f t="shared" si="24"/>
        <v>0.12895350988247345</v>
      </c>
      <c r="S48">
        <v>0.55999999999999994</v>
      </c>
      <c r="T48">
        <v>1.7499999999999998</v>
      </c>
      <c r="U48">
        <v>1.4698000000000001E-4</v>
      </c>
      <c r="V48">
        <v>0.180063</v>
      </c>
      <c r="W48">
        <v>0.180062</v>
      </c>
      <c r="X48">
        <v>0.50569200000000003</v>
      </c>
      <c r="Y48">
        <f t="shared" si="25"/>
        <v>0.50980378554804429</v>
      </c>
      <c r="Z48">
        <f t="shared" si="26"/>
        <v>0.12855085812180803</v>
      </c>
      <c r="AB48">
        <v>0.55999999999999994</v>
      </c>
      <c r="AC48">
        <v>1.7499999999999998</v>
      </c>
      <c r="AD48">
        <v>1.16129E-4</v>
      </c>
      <c r="AE48">
        <v>0.181142</v>
      </c>
      <c r="AF48">
        <v>0.181141</v>
      </c>
      <c r="AG48">
        <v>0.52249299999999999</v>
      </c>
      <c r="AH48">
        <f t="shared" si="20"/>
        <v>0.4027963247510466</v>
      </c>
      <c r="AI48">
        <f t="shared" si="27"/>
        <v>0.12932117948662716</v>
      </c>
      <c r="AK48">
        <v>0.55999999999999994</v>
      </c>
      <c r="AL48">
        <v>1.7499999999999998</v>
      </c>
      <c r="AM48" s="1">
        <v>8.2999999999999998E-5</v>
      </c>
      <c r="AN48">
        <v>0.19171099999999999</v>
      </c>
      <c r="AO48">
        <v>0.19170999999999999</v>
      </c>
      <c r="AP48">
        <v>0.52657900000000002</v>
      </c>
      <c r="AQ48">
        <f t="shared" si="28"/>
        <v>0.28788756429777979</v>
      </c>
      <c r="AR48">
        <f t="shared" si="29"/>
        <v>0.13686661646973525</v>
      </c>
    </row>
    <row r="49" spans="1:44" ht="15" x14ac:dyDescent="0.35">
      <c r="A49" s="2">
        <v>0.6</v>
      </c>
      <c r="B49">
        <v>1.875</v>
      </c>
      <c r="C49">
        <v>1.8521799999999999E-4</v>
      </c>
      <c r="D49">
        <v>0.17707899999999999</v>
      </c>
      <c r="E49">
        <v>0.17707800000000001</v>
      </c>
      <c r="F49">
        <v>0.52318799999999999</v>
      </c>
      <c r="G49">
        <f t="shared" si="21"/>
        <v>0.64243323956754428</v>
      </c>
      <c r="H49">
        <f t="shared" si="22"/>
        <v>0.12642051618240083</v>
      </c>
      <c r="J49">
        <v>0.6</v>
      </c>
      <c r="K49">
        <v>1.875</v>
      </c>
      <c r="L49">
        <v>1.18174E-4</v>
      </c>
      <c r="M49">
        <v>0.180342</v>
      </c>
      <c r="N49">
        <v>0.180341</v>
      </c>
      <c r="O49">
        <v>0.54905499999999996</v>
      </c>
      <c r="P49">
        <f t="shared" si="23"/>
        <v>0.63759624048385966</v>
      </c>
      <c r="Q49">
        <f t="shared" si="24"/>
        <v>0.12875004223745634</v>
      </c>
      <c r="S49">
        <v>0.6</v>
      </c>
      <c r="T49">
        <v>1.875</v>
      </c>
      <c r="U49">
        <v>1.4705400000000001E-4</v>
      </c>
      <c r="V49">
        <v>0.179815</v>
      </c>
      <c r="W49">
        <v>0.179814</v>
      </c>
      <c r="X49">
        <v>0.54166300000000001</v>
      </c>
      <c r="Y49">
        <f t="shared" si="25"/>
        <v>0.5100604563885025</v>
      </c>
      <c r="Z49">
        <f t="shared" si="26"/>
        <v>0.12837380557456507</v>
      </c>
      <c r="AB49">
        <v>0.6</v>
      </c>
      <c r="AC49">
        <v>1.875</v>
      </c>
      <c r="AD49">
        <v>1.16376E-4</v>
      </c>
      <c r="AE49">
        <v>0.18246499999999999</v>
      </c>
      <c r="AF49">
        <v>0.18246399999999999</v>
      </c>
      <c r="AG49">
        <v>0.55884</v>
      </c>
      <c r="AH49">
        <f t="shared" si="20"/>
        <v>0.4036530503941978</v>
      </c>
      <c r="AI49">
        <f t="shared" si="27"/>
        <v>0.13026569771244342</v>
      </c>
      <c r="AK49">
        <v>0.6</v>
      </c>
      <c r="AL49">
        <v>1.875</v>
      </c>
      <c r="AM49" s="1">
        <v>8.0699999999999996E-5</v>
      </c>
      <c r="AN49">
        <v>0.19604099999999999</v>
      </c>
      <c r="AO49">
        <v>0.19603899999999999</v>
      </c>
      <c r="AP49">
        <v>0.56534700000000004</v>
      </c>
      <c r="AQ49">
        <f t="shared" si="28"/>
        <v>0.27990995709434729</v>
      </c>
      <c r="AR49">
        <f t="shared" si="29"/>
        <v>0.13995789683087234</v>
      </c>
    </row>
    <row r="50" spans="1:44" ht="15" x14ac:dyDescent="0.35">
      <c r="A50" s="2">
        <v>0.64</v>
      </c>
      <c r="B50">
        <v>2</v>
      </c>
      <c r="C50">
        <v>1.8520900000000001E-4</v>
      </c>
      <c r="D50">
        <v>0.17704900000000001</v>
      </c>
      <c r="E50">
        <v>0.17704800000000001</v>
      </c>
      <c r="F50">
        <v>0.558585</v>
      </c>
      <c r="G50">
        <f t="shared" si="21"/>
        <v>0.64240202284370485</v>
      </c>
      <c r="H50">
        <f t="shared" si="22"/>
        <v>0.12639909853555695</v>
      </c>
      <c r="J50">
        <v>0.64</v>
      </c>
      <c r="K50">
        <v>2</v>
      </c>
      <c r="L50">
        <v>1.1824600000000001E-4</v>
      </c>
      <c r="M50">
        <v>0.18086199999999999</v>
      </c>
      <c r="N50">
        <v>0.18086099999999999</v>
      </c>
      <c r="O50">
        <v>0.58516699999999999</v>
      </c>
      <c r="P50">
        <f t="shared" si="23"/>
        <v>0.63798470943062324</v>
      </c>
      <c r="Q50">
        <f t="shared" si="24"/>
        <v>0.12912128144941737</v>
      </c>
      <c r="S50">
        <v>0.64</v>
      </c>
      <c r="T50">
        <v>2</v>
      </c>
      <c r="U50">
        <v>1.4701699999999999E-4</v>
      </c>
      <c r="V50">
        <v>0.180538</v>
      </c>
      <c r="W50">
        <v>0.180537</v>
      </c>
      <c r="X50">
        <v>0.57768799999999998</v>
      </c>
      <c r="Y50">
        <f t="shared" si="25"/>
        <v>0.50993212096827334</v>
      </c>
      <c r="Z50">
        <f t="shared" si="26"/>
        <v>0.12888997086350321</v>
      </c>
      <c r="AB50">
        <v>0.64</v>
      </c>
      <c r="AC50">
        <v>2</v>
      </c>
      <c r="AD50">
        <v>1.14228E-4</v>
      </c>
      <c r="AE50">
        <v>0.18478900000000001</v>
      </c>
      <c r="AF50">
        <v>0.18478800000000001</v>
      </c>
      <c r="AG50">
        <v>0.59555599999999997</v>
      </c>
      <c r="AH50">
        <f t="shared" si="20"/>
        <v>0.39620265897116613</v>
      </c>
      <c r="AI50">
        <f t="shared" si="27"/>
        <v>0.13192485142128468</v>
      </c>
      <c r="AK50">
        <v>0.64</v>
      </c>
      <c r="AL50">
        <v>2</v>
      </c>
      <c r="AM50" s="1">
        <v>8.0199999999999998E-5</v>
      </c>
      <c r="AN50">
        <v>0.20085900000000001</v>
      </c>
      <c r="AO50">
        <v>0.20085700000000001</v>
      </c>
      <c r="AP50">
        <v>0.60504199999999997</v>
      </c>
      <c r="AQ50">
        <f t="shared" si="28"/>
        <v>0.27817569465881853</v>
      </c>
      <c r="AR50">
        <f t="shared" si="29"/>
        <v>0.14339757091400365</v>
      </c>
    </row>
    <row r="51" spans="1:44" ht="15" x14ac:dyDescent="0.35">
      <c r="A51" s="2">
        <v>0.68</v>
      </c>
      <c r="B51">
        <v>2.125</v>
      </c>
      <c r="C51">
        <v>1.8490800000000001E-4</v>
      </c>
      <c r="D51">
        <v>0.17799300000000001</v>
      </c>
      <c r="E51">
        <v>0.17799200000000001</v>
      </c>
      <c r="F51">
        <v>0.59407699999999997</v>
      </c>
      <c r="G51">
        <f t="shared" si="21"/>
        <v>0.64135799685751649</v>
      </c>
      <c r="H51">
        <f t="shared" si="22"/>
        <v>0.12707304048957851</v>
      </c>
      <c r="J51">
        <v>0.68</v>
      </c>
      <c r="K51">
        <v>2.125</v>
      </c>
      <c r="L51">
        <v>1.17896E-4</v>
      </c>
      <c r="M51">
        <v>0.182091</v>
      </c>
      <c r="N51">
        <v>0.18209</v>
      </c>
      <c r="O51">
        <v>0.62145499999999998</v>
      </c>
      <c r="P51">
        <f t="shared" si="23"/>
        <v>0.63609631871718919</v>
      </c>
      <c r="Q51">
        <f t="shared" si="24"/>
        <v>0.12999869104845607</v>
      </c>
      <c r="S51">
        <v>0.68</v>
      </c>
      <c r="T51">
        <v>2.125</v>
      </c>
      <c r="U51">
        <v>1.4640000000000001E-4</v>
      </c>
      <c r="V51">
        <v>0.18201100000000001</v>
      </c>
      <c r="W51">
        <v>0.18201000000000001</v>
      </c>
      <c r="X51">
        <v>0.61393500000000001</v>
      </c>
      <c r="Y51">
        <f t="shared" si="25"/>
        <v>0.50779204112283083</v>
      </c>
      <c r="Z51">
        <f t="shared" si="26"/>
        <v>0.12994157732353898</v>
      </c>
      <c r="AB51">
        <v>0.68</v>
      </c>
      <c r="AC51">
        <v>2.125</v>
      </c>
      <c r="AD51">
        <v>1.13028E-4</v>
      </c>
      <c r="AE51">
        <v>0.187831</v>
      </c>
      <c r="AF51">
        <v>0.18783</v>
      </c>
      <c r="AG51">
        <v>0.63281100000000001</v>
      </c>
      <c r="AH51">
        <f t="shared" si="20"/>
        <v>0.39204042912589704</v>
      </c>
      <c r="AI51">
        <f t="shared" si="27"/>
        <v>0.13409660081125674</v>
      </c>
      <c r="AK51">
        <v>0.68</v>
      </c>
      <c r="AL51">
        <v>2.125</v>
      </c>
      <c r="AM51" s="1">
        <v>7.8200000000000003E-5</v>
      </c>
      <c r="AN51">
        <v>0.20552200000000001</v>
      </c>
      <c r="AO51">
        <v>0.20552000000000001</v>
      </c>
      <c r="AP51">
        <v>0.64569500000000002</v>
      </c>
      <c r="AQ51">
        <f t="shared" si="28"/>
        <v>0.27123864491670335</v>
      </c>
      <c r="AR51">
        <f t="shared" si="29"/>
        <v>0.14672658715510808</v>
      </c>
    </row>
    <row r="52" spans="1:44" ht="15" x14ac:dyDescent="0.35">
      <c r="A52" s="2">
        <v>0.72000000000000008</v>
      </c>
      <c r="B52">
        <v>2.25</v>
      </c>
      <c r="C52">
        <v>1.8420700000000001E-4</v>
      </c>
      <c r="D52">
        <v>0.17980299999999999</v>
      </c>
      <c r="E52">
        <v>0.17980199999999999</v>
      </c>
      <c r="F52">
        <v>0.62984399999999996</v>
      </c>
      <c r="G52">
        <f t="shared" si="21"/>
        <v>0.63892656092290512</v>
      </c>
      <c r="H52">
        <f t="shared" si="22"/>
        <v>0.12836523851582748</v>
      </c>
      <c r="J52">
        <v>0.72000000000000008</v>
      </c>
      <c r="K52">
        <v>2.25</v>
      </c>
      <c r="L52">
        <v>1.17296E-4</v>
      </c>
      <c r="M52">
        <v>0.184117</v>
      </c>
      <c r="N52">
        <v>0.184116</v>
      </c>
      <c r="O52">
        <v>0.65806399999999998</v>
      </c>
      <c r="P52">
        <f t="shared" si="23"/>
        <v>0.63285907749415948</v>
      </c>
      <c r="Q52">
        <f t="shared" si="24"/>
        <v>0.13144509613198119</v>
      </c>
      <c r="S52">
        <v>0.72000000000000008</v>
      </c>
      <c r="T52">
        <v>2.25</v>
      </c>
      <c r="U52">
        <v>1.45186E-4</v>
      </c>
      <c r="V52">
        <v>0.18423</v>
      </c>
      <c r="W52">
        <v>0.184229</v>
      </c>
      <c r="X52">
        <v>0.65054900000000004</v>
      </c>
      <c r="Y52">
        <f t="shared" si="25"/>
        <v>0.50358125192936698</v>
      </c>
      <c r="Z52">
        <f t="shared" si="26"/>
        <v>0.13152576926842657</v>
      </c>
      <c r="AB52">
        <v>0.72000000000000008</v>
      </c>
      <c r="AC52">
        <v>2.25</v>
      </c>
      <c r="AD52">
        <v>1.11527E-4</v>
      </c>
      <c r="AE52">
        <v>0.19151599999999999</v>
      </c>
      <c r="AF52">
        <v>0.19151499999999999</v>
      </c>
      <c r="AG52">
        <v>0.67073700000000003</v>
      </c>
      <c r="AH52">
        <f t="shared" si="20"/>
        <v>0.38683417329443959</v>
      </c>
      <c r="AI52">
        <f t="shared" si="27"/>
        <v>0.13672740176524983</v>
      </c>
      <c r="AK52">
        <v>0.72000000000000008</v>
      </c>
      <c r="AL52">
        <v>2.25</v>
      </c>
      <c r="AM52" s="1">
        <v>7.8200000000000003E-5</v>
      </c>
      <c r="AN52">
        <v>0.20954500000000001</v>
      </c>
      <c r="AO52">
        <v>0.20954300000000001</v>
      </c>
      <c r="AP52">
        <v>0.687218</v>
      </c>
      <c r="AQ52">
        <f t="shared" si="28"/>
        <v>0.27123864491670335</v>
      </c>
      <c r="AR52">
        <f t="shared" si="29"/>
        <v>0.14959869359687589</v>
      </c>
    </row>
    <row r="53" spans="1:44" ht="15" x14ac:dyDescent="0.35">
      <c r="A53" s="2">
        <v>0.76000000000000012</v>
      </c>
      <c r="B53">
        <v>2.3750000000000004</v>
      </c>
      <c r="C53">
        <v>1.8315700000000001E-4</v>
      </c>
      <c r="D53">
        <v>0.18262600000000001</v>
      </c>
      <c r="E53">
        <v>0.18262500000000001</v>
      </c>
      <c r="F53">
        <v>0.66606900000000002</v>
      </c>
      <c r="G53">
        <f t="shared" si="21"/>
        <v>0.6352846098082946</v>
      </c>
      <c r="H53">
        <f t="shared" si="22"/>
        <v>0.13038063908383907</v>
      </c>
      <c r="J53">
        <v>0.76000000000000012</v>
      </c>
      <c r="K53">
        <v>2.3750000000000004</v>
      </c>
      <c r="L53">
        <v>1.16803E-4</v>
      </c>
      <c r="M53">
        <v>0.18724099999999999</v>
      </c>
      <c r="N53">
        <v>0.18723999999999999</v>
      </c>
      <c r="O53">
        <v>0.69518000000000002</v>
      </c>
      <c r="P53">
        <f t="shared" si="23"/>
        <v>0.63019914428923673</v>
      </c>
      <c r="Q53">
        <f t="shared" si="24"/>
        <v>0.13367538708999324</v>
      </c>
      <c r="S53">
        <v>0.76000000000000012</v>
      </c>
      <c r="T53">
        <v>2.3750000000000004</v>
      </c>
      <c r="U53">
        <v>1.4411099999999999E-4</v>
      </c>
      <c r="V53">
        <v>0.18742</v>
      </c>
      <c r="W53">
        <v>0.187419</v>
      </c>
      <c r="X53">
        <v>0.68769599999999997</v>
      </c>
      <c r="Y53">
        <f t="shared" si="25"/>
        <v>0.49985258769297997</v>
      </c>
      <c r="Z53">
        <f t="shared" si="26"/>
        <v>0.13380317904949524</v>
      </c>
      <c r="AB53">
        <v>0.76000000000000012</v>
      </c>
      <c r="AC53">
        <v>2.3750000000000004</v>
      </c>
      <c r="AD53">
        <v>1.0986E-4</v>
      </c>
      <c r="AE53">
        <v>0.19623099999999999</v>
      </c>
      <c r="AF53">
        <v>0.19622999999999999</v>
      </c>
      <c r="AG53">
        <v>0.70949099999999998</v>
      </c>
      <c r="AH53">
        <f t="shared" si="20"/>
        <v>0.38105214233438656</v>
      </c>
      <c r="AI53">
        <f t="shared" si="27"/>
        <v>0.14009354192755041</v>
      </c>
      <c r="AK53">
        <v>0.76000000000000012</v>
      </c>
      <c r="AL53">
        <v>2.3750000000000004</v>
      </c>
      <c r="AM53" s="1">
        <v>7.8800000000000004E-5</v>
      </c>
      <c r="AN53">
        <v>0.21296200000000001</v>
      </c>
      <c r="AO53">
        <v>0.21296100000000001</v>
      </c>
      <c r="AP53">
        <v>0.72948299999999999</v>
      </c>
      <c r="AQ53">
        <f t="shared" si="28"/>
        <v>0.27331975983933793</v>
      </c>
      <c r="AR53">
        <f t="shared" si="29"/>
        <v>0.15203816357239677</v>
      </c>
    </row>
    <row r="54" spans="1:44" ht="15" x14ac:dyDescent="0.35">
      <c r="A54" s="2">
        <v>0.80000000000000016</v>
      </c>
      <c r="B54">
        <v>2.5000000000000004</v>
      </c>
      <c r="C54">
        <v>1.81588E-4</v>
      </c>
      <c r="D54">
        <v>0.18693899999999999</v>
      </c>
      <c r="E54">
        <v>0.18693799999999999</v>
      </c>
      <c r="F54">
        <v>0.70299699999999998</v>
      </c>
      <c r="G54">
        <f t="shared" si="21"/>
        <v>0.62984249428560524</v>
      </c>
      <c r="H54">
        <f t="shared" si="22"/>
        <v>0.13345978277843126</v>
      </c>
      <c r="J54">
        <v>0.80000000000000016</v>
      </c>
      <c r="K54">
        <v>2.5000000000000004</v>
      </c>
      <c r="L54">
        <v>1.15532E-4</v>
      </c>
      <c r="M54">
        <v>0.192104</v>
      </c>
      <c r="N54">
        <v>0.192103</v>
      </c>
      <c r="O54">
        <v>0.73308200000000001</v>
      </c>
      <c r="P54">
        <f t="shared" si="23"/>
        <v>0.6233415882984521</v>
      </c>
      <c r="Q54">
        <f t="shared" si="24"/>
        <v>0.1371471876433904</v>
      </c>
      <c r="S54">
        <v>0.80000000000000016</v>
      </c>
      <c r="T54">
        <v>2.5000000000000004</v>
      </c>
      <c r="U54">
        <v>1.41922E-4</v>
      </c>
      <c r="V54">
        <v>0.19217999999999999</v>
      </c>
      <c r="W54">
        <v>0.19217899999999999</v>
      </c>
      <c r="X54">
        <v>0.72562700000000002</v>
      </c>
      <c r="Y54">
        <f t="shared" si="25"/>
        <v>0.49225998675023497</v>
      </c>
      <c r="Z54">
        <f t="shared" si="26"/>
        <v>0.13720144568206163</v>
      </c>
      <c r="AB54">
        <v>0.80000000000000016</v>
      </c>
      <c r="AC54">
        <v>2.5000000000000004</v>
      </c>
      <c r="AD54">
        <v>1.07632E-4</v>
      </c>
      <c r="AE54">
        <v>0.202597</v>
      </c>
      <c r="AF54">
        <v>0.202596</v>
      </c>
      <c r="AG54">
        <v>0.74934299999999998</v>
      </c>
      <c r="AH54">
        <f t="shared" si="20"/>
        <v>0.37332426892167031</v>
      </c>
      <c r="AI54">
        <f t="shared" si="27"/>
        <v>0.14463836658782725</v>
      </c>
      <c r="AK54">
        <v>0.80000000000000016</v>
      </c>
      <c r="AL54">
        <v>2.5000000000000004</v>
      </c>
      <c r="AM54" s="1">
        <v>7.9099999999999998E-5</v>
      </c>
      <c r="AN54">
        <v>0.21571199999999999</v>
      </c>
      <c r="AO54">
        <v>0.21571000000000001</v>
      </c>
      <c r="AP54">
        <v>0.77236300000000002</v>
      </c>
      <c r="AQ54">
        <f t="shared" si="28"/>
        <v>0.27436031730065519</v>
      </c>
      <c r="AR54">
        <f t="shared" si="29"/>
        <v>0.15400144786642148</v>
      </c>
    </row>
    <row r="55" spans="1:44" ht="15" x14ac:dyDescent="0.35">
      <c r="A55" s="2">
        <v>0.84000000000000019</v>
      </c>
      <c r="B55">
        <v>2.6250000000000004</v>
      </c>
      <c r="C55">
        <v>1.7914999999999999E-4</v>
      </c>
      <c r="D55">
        <v>0.19364799999999999</v>
      </c>
      <c r="E55">
        <v>0.19364600000000001</v>
      </c>
      <c r="F55">
        <v>0.74100699999999997</v>
      </c>
      <c r="G55">
        <f t="shared" si="21"/>
        <v>0.62138623064996679</v>
      </c>
      <c r="H55">
        <f t="shared" si="22"/>
        <v>0.13824948253429009</v>
      </c>
      <c r="J55">
        <v>0.84000000000000019</v>
      </c>
      <c r="K55">
        <v>2.6250000000000004</v>
      </c>
      <c r="L55">
        <v>1.1387099999999999E-4</v>
      </c>
      <c r="M55">
        <v>0.19977600000000001</v>
      </c>
      <c r="N55">
        <v>0.19977400000000001</v>
      </c>
      <c r="O55">
        <v>0.77221200000000001</v>
      </c>
      <c r="P55">
        <f t="shared" si="23"/>
        <v>0.61437982551269799</v>
      </c>
      <c r="Q55">
        <f t="shared" si="24"/>
        <v>0.14262439386293863</v>
      </c>
      <c r="S55">
        <v>0.84000000000000019</v>
      </c>
      <c r="T55">
        <v>2.6250000000000004</v>
      </c>
      <c r="U55">
        <v>1.38987E-4</v>
      </c>
      <c r="V55">
        <v>0.19950100000000001</v>
      </c>
      <c r="W55">
        <v>0.19950000000000001</v>
      </c>
      <c r="X55">
        <v>0.76474200000000003</v>
      </c>
      <c r="Y55">
        <f t="shared" si="25"/>
        <v>0.48207986625368093</v>
      </c>
      <c r="Z55">
        <f t="shared" si="26"/>
        <v>0.14242806543353617</v>
      </c>
      <c r="AB55">
        <v>0.84000000000000019</v>
      </c>
      <c r="AC55">
        <v>2.6250000000000004</v>
      </c>
      <c r="AD55">
        <v>1.04338E-4</v>
      </c>
      <c r="AE55">
        <v>0.21176700000000001</v>
      </c>
      <c r="AF55">
        <v>0.21176500000000001</v>
      </c>
      <c r="AG55">
        <v>0.79071599999999997</v>
      </c>
      <c r="AH55">
        <f t="shared" si="20"/>
        <v>0.36189894799640659</v>
      </c>
      <c r="AI55">
        <f t="shared" si="27"/>
        <v>0.15118502730644787</v>
      </c>
      <c r="AK55">
        <v>0.84000000000000019</v>
      </c>
      <c r="AL55">
        <v>2.6250000000000004</v>
      </c>
      <c r="AM55" s="1">
        <v>7.8300000000000006E-5</v>
      </c>
      <c r="AN55">
        <v>0.219911</v>
      </c>
      <c r="AO55">
        <v>0.21990899999999999</v>
      </c>
      <c r="AP55">
        <v>0.81585700000000005</v>
      </c>
      <c r="AQ55">
        <f t="shared" si="28"/>
        <v>0.27158549740380916</v>
      </c>
      <c r="AR55">
        <f t="shared" si="29"/>
        <v>0.15699920450300686</v>
      </c>
    </row>
    <row r="56" spans="1:44" ht="15" x14ac:dyDescent="0.35">
      <c r="A56" s="2">
        <v>0.88000000000000023</v>
      </c>
      <c r="B56">
        <v>2.7500000000000004</v>
      </c>
      <c r="C56">
        <v>1.7554100000000001E-4</v>
      </c>
      <c r="D56">
        <v>0.204237</v>
      </c>
      <c r="E56">
        <v>0.204236</v>
      </c>
      <c r="F56">
        <v>0.78071699999999999</v>
      </c>
      <c r="G56">
        <f t="shared" si="21"/>
        <v>0.60886832439032001</v>
      </c>
      <c r="H56">
        <f t="shared" si="22"/>
        <v>0.14580919794862746</v>
      </c>
      <c r="J56">
        <v>0.88000000000000023</v>
      </c>
      <c r="K56">
        <v>2.7500000000000004</v>
      </c>
      <c r="L56">
        <v>1.11356E-4</v>
      </c>
      <c r="M56">
        <v>0.21215600000000001</v>
      </c>
      <c r="N56">
        <v>0.21215400000000001</v>
      </c>
      <c r="O56">
        <v>0.81330499999999994</v>
      </c>
      <c r="P56">
        <f t="shared" si="23"/>
        <v>0.60081038938616504</v>
      </c>
      <c r="Q56">
        <f t="shared" si="24"/>
        <v>0.15146274279385716</v>
      </c>
      <c r="S56">
        <v>0.88000000000000023</v>
      </c>
      <c r="T56">
        <v>2.7500000000000004</v>
      </c>
      <c r="U56">
        <v>1.34664E-4</v>
      </c>
      <c r="V56">
        <v>0.21107999999999999</v>
      </c>
      <c r="W56">
        <v>0.21107799999999999</v>
      </c>
      <c r="X56">
        <v>0.80571199999999998</v>
      </c>
      <c r="Y56">
        <f t="shared" si="25"/>
        <v>0.46708543323609897</v>
      </c>
      <c r="Z56">
        <f t="shared" si="26"/>
        <v>0.1506945631937224</v>
      </c>
      <c r="AB56">
        <v>0.88000000000000023</v>
      </c>
      <c r="AC56">
        <v>2.7500000000000004</v>
      </c>
      <c r="AD56" s="1">
        <v>9.9199999999999999E-5</v>
      </c>
      <c r="AE56">
        <v>0.226692</v>
      </c>
      <c r="AF56">
        <v>0.22669</v>
      </c>
      <c r="AG56">
        <v>0.83443599999999996</v>
      </c>
      <c r="AH56">
        <f t="shared" si="20"/>
        <v>0.3440776672089127</v>
      </c>
      <c r="AI56">
        <f t="shared" si="27"/>
        <v>0.16184030661129106</v>
      </c>
      <c r="AK56">
        <v>0.88000000000000023</v>
      </c>
      <c r="AL56">
        <v>2.7500000000000004</v>
      </c>
      <c r="AM56" s="1">
        <v>7.4400000000000006E-5</v>
      </c>
      <c r="AN56">
        <v>0.23219699999999999</v>
      </c>
      <c r="AO56">
        <v>0.23219600000000001</v>
      </c>
      <c r="AP56">
        <v>0.86088100000000001</v>
      </c>
      <c r="AQ56">
        <f t="shared" si="28"/>
        <v>0.25805825040668456</v>
      </c>
      <c r="AR56">
        <f t="shared" si="29"/>
        <v>0.16577044480714781</v>
      </c>
    </row>
    <row r="57" spans="1:44" ht="15" x14ac:dyDescent="0.35">
      <c r="A57" s="2">
        <v>0.92000000000000026</v>
      </c>
      <c r="B57">
        <v>2.8750000000000009</v>
      </c>
      <c r="C57">
        <v>1.70283E-4</v>
      </c>
      <c r="D57">
        <v>0.220863</v>
      </c>
      <c r="E57">
        <v>0.220862</v>
      </c>
      <c r="F57">
        <v>0.82310499999999998</v>
      </c>
      <c r="G57">
        <f t="shared" si="21"/>
        <v>0.59063082061829919</v>
      </c>
      <c r="H57">
        <f t="shared" si="22"/>
        <v>0.15767885782952012</v>
      </c>
      <c r="J57" s="1">
        <v>0.92000000000000026</v>
      </c>
      <c r="K57">
        <v>2.8750000000000009</v>
      </c>
      <c r="L57">
        <v>1.08138E-4</v>
      </c>
      <c r="M57">
        <v>0.23234199999999999</v>
      </c>
      <c r="N57">
        <v>0.23233999999999999</v>
      </c>
      <c r="O57">
        <v>0.85759600000000002</v>
      </c>
      <c r="P57">
        <f t="shared" si="23"/>
        <v>0.58344798562664901</v>
      </c>
      <c r="Q57">
        <f t="shared" si="24"/>
        <v>0.16587396343356001</v>
      </c>
      <c r="S57">
        <v>0.92000000000000026</v>
      </c>
      <c r="T57">
        <v>2.8750000000000009</v>
      </c>
      <c r="U57">
        <v>1.2831299999999999E-4</v>
      </c>
      <c r="V57">
        <v>0.229629</v>
      </c>
      <c r="W57">
        <v>0.229627</v>
      </c>
      <c r="X57">
        <v>0.849638</v>
      </c>
      <c r="Y57">
        <f t="shared" si="25"/>
        <v>0.44505683178001221</v>
      </c>
      <c r="Z57">
        <f t="shared" si="26"/>
        <v>0.16393709423730946</v>
      </c>
      <c r="AB57">
        <v>0.92000000000000026</v>
      </c>
      <c r="AC57">
        <v>2.8750000000000009</v>
      </c>
      <c r="AD57" s="1">
        <v>9.2100000000000003E-5</v>
      </c>
      <c r="AE57">
        <v>0.25049100000000002</v>
      </c>
      <c r="AF57">
        <v>0.25048900000000002</v>
      </c>
      <c r="AG57">
        <v>0.881996</v>
      </c>
      <c r="AH57">
        <f t="shared" si="20"/>
        <v>0.31945114062440383</v>
      </c>
      <c r="AI57">
        <f t="shared" si="27"/>
        <v>0.17883092585256169</v>
      </c>
      <c r="AK57">
        <v>0.92000000000000026</v>
      </c>
      <c r="AL57">
        <v>2.8750000000000009</v>
      </c>
      <c r="AM57" s="1">
        <v>6.7199999999999994E-5</v>
      </c>
      <c r="AN57">
        <v>0.25818099999999999</v>
      </c>
      <c r="AO57">
        <v>0.25817800000000002</v>
      </c>
      <c r="AP57">
        <v>0.90965399999999996</v>
      </c>
      <c r="AQ57">
        <f t="shared" si="28"/>
        <v>0.23308487133506986</v>
      </c>
      <c r="AR57">
        <f t="shared" si="29"/>
        <v>0.18432098266021624</v>
      </c>
    </row>
    <row r="58" spans="1:44" ht="15" x14ac:dyDescent="0.35">
      <c r="A58" s="2">
        <v>0.9600000000000003</v>
      </c>
      <c r="B58">
        <v>3.0000000000000009</v>
      </c>
      <c r="C58">
        <v>1.63227E-4</v>
      </c>
      <c r="D58">
        <v>0.24615799999999999</v>
      </c>
      <c r="E58">
        <v>0.24615600000000001</v>
      </c>
      <c r="F58">
        <v>0.86964200000000003</v>
      </c>
      <c r="G58">
        <f t="shared" si="21"/>
        <v>0.56615690912811689</v>
      </c>
      <c r="H58">
        <f t="shared" si="22"/>
        <v>0.17573750372674019</v>
      </c>
      <c r="J58" s="1">
        <v>0.9600000000000003</v>
      </c>
      <c r="K58">
        <v>3.0000000000000009</v>
      </c>
      <c r="L58">
        <v>1.02631E-4</v>
      </c>
      <c r="M58">
        <v>0.26345200000000002</v>
      </c>
      <c r="N58">
        <v>0.26344899999999999</v>
      </c>
      <c r="O58">
        <v>0.90699399999999997</v>
      </c>
      <c r="P58">
        <f t="shared" si="23"/>
        <v>0.55373550660127435</v>
      </c>
      <c r="Q58">
        <f t="shared" si="24"/>
        <v>0.18808406321069052</v>
      </c>
      <c r="S58">
        <v>0.9600000000000003</v>
      </c>
      <c r="T58">
        <v>3.0000000000000009</v>
      </c>
      <c r="U58">
        <v>1.1998300000000001E-4</v>
      </c>
      <c r="V58">
        <v>0.25836199999999998</v>
      </c>
      <c r="W58">
        <v>0.25835900000000001</v>
      </c>
      <c r="X58">
        <v>0.89824899999999996</v>
      </c>
      <c r="Y58">
        <f t="shared" si="25"/>
        <v>0.4161640196041026</v>
      </c>
      <c r="Z58">
        <f t="shared" si="26"/>
        <v>0.18445020246284111</v>
      </c>
      <c r="AB58">
        <v>0.9600000000000003</v>
      </c>
      <c r="AC58">
        <v>3.0000000000000009</v>
      </c>
      <c r="AD58" s="1">
        <v>8.5799999999999998E-5</v>
      </c>
      <c r="AE58">
        <v>0.27822000000000002</v>
      </c>
      <c r="AF58">
        <v>0.27821699999999999</v>
      </c>
      <c r="AG58">
        <v>0.93496500000000005</v>
      </c>
      <c r="AH58">
        <f t="shared" si="20"/>
        <v>0.29759943393674104</v>
      </c>
      <c r="AI58">
        <f t="shared" si="27"/>
        <v>0.19862725683038399</v>
      </c>
      <c r="AK58">
        <v>0.9600000000000003</v>
      </c>
      <c r="AL58">
        <v>3.0000000000000009</v>
      </c>
      <c r="AM58" s="1">
        <v>5.9799999999999997E-5</v>
      </c>
      <c r="AN58">
        <v>0.28194470999999999</v>
      </c>
      <c r="AO58">
        <v>0.29446800000000001</v>
      </c>
      <c r="AP58">
        <v>0.96496700000000002</v>
      </c>
      <c r="AQ58">
        <f t="shared" si="28"/>
        <v>0.20741778728924373</v>
      </c>
      <c r="AR58">
        <f t="shared" si="29"/>
        <v>0.20128640760958277</v>
      </c>
    </row>
    <row r="59" spans="1:44" ht="15" x14ac:dyDescent="0.35">
      <c r="A59" s="2">
        <v>1.0000000000000002</v>
      </c>
      <c r="B59">
        <v>3.1250000000000004</v>
      </c>
      <c r="C59">
        <v>1.54878E-4</v>
      </c>
      <c r="D59">
        <v>0.28175699999999998</v>
      </c>
      <c r="E59">
        <v>0.281754</v>
      </c>
      <c r="F59">
        <v>0.92226600000000003</v>
      </c>
      <c r="G59">
        <f t="shared" si="21"/>
        <v>0.53719819497965704</v>
      </c>
      <c r="H59">
        <f t="shared" si="22"/>
        <v>0.20115239739328045</v>
      </c>
      <c r="J59" s="1">
        <v>1.0000000000000002</v>
      </c>
      <c r="K59">
        <v>3.1250000000000004</v>
      </c>
      <c r="L59" s="1">
        <v>9.8300000000000004E-5</v>
      </c>
      <c r="M59">
        <v>0.298875</v>
      </c>
      <c r="N59">
        <v>0.298871</v>
      </c>
      <c r="O59" s="2">
        <v>0.963337</v>
      </c>
      <c r="P59">
        <f t="shared" si="23"/>
        <v>0.5303680203730381</v>
      </c>
      <c r="Q59">
        <f t="shared" si="24"/>
        <v>0.21337330668241322</v>
      </c>
      <c r="S59">
        <v>1.0000000000000002</v>
      </c>
      <c r="T59">
        <v>3.1250000000000004</v>
      </c>
      <c r="U59">
        <v>1.11567E-4</v>
      </c>
      <c r="V59">
        <v>0.29560500000000001</v>
      </c>
      <c r="W59">
        <v>0.295601</v>
      </c>
      <c r="X59">
        <v>0.953596</v>
      </c>
      <c r="Y59">
        <f t="shared" si="25"/>
        <v>0.38697291428928188</v>
      </c>
      <c r="Z59">
        <f t="shared" si="26"/>
        <v>0.21103878317642746</v>
      </c>
      <c r="AB59">
        <v>1.0000000000000002</v>
      </c>
      <c r="AC59">
        <v>3.1250000000000004</v>
      </c>
      <c r="AD59" s="1">
        <v>8.1699999999999994E-5</v>
      </c>
      <c r="AE59">
        <v>0.29832799999999998</v>
      </c>
      <c r="AF59">
        <v>0.29832399999999998</v>
      </c>
      <c r="AG59">
        <v>0.99236800000000003</v>
      </c>
      <c r="AH59">
        <f t="shared" si="20"/>
        <v>0.28337848196540488</v>
      </c>
      <c r="AI59">
        <f t="shared" si="27"/>
        <v>0.21298279158829264</v>
      </c>
      <c r="AK59">
        <v>1.0000000000000002</v>
      </c>
      <c r="AL59">
        <v>3.1250000000000004</v>
      </c>
      <c r="AM59" s="1">
        <v>5.7800000000000002E-5</v>
      </c>
      <c r="AN59">
        <v>0.31190099999999998</v>
      </c>
      <c r="AO59">
        <v>0.31189899999999998</v>
      </c>
      <c r="AP59">
        <v>1.0258700000000001</v>
      </c>
      <c r="AQ59">
        <f t="shared" si="28"/>
        <v>0.20048073754712858</v>
      </c>
      <c r="AR59">
        <f t="shared" si="29"/>
        <v>0.22267284894203718</v>
      </c>
    </row>
    <row r="60" spans="1:44" ht="15" x14ac:dyDescent="0.35">
      <c r="A60" s="2">
        <v>1.0400000000000003</v>
      </c>
      <c r="B60">
        <v>3.2500000000000009</v>
      </c>
      <c r="C60">
        <v>1.47047E-4</v>
      </c>
      <c r="D60">
        <v>0.32372200000000001</v>
      </c>
      <c r="E60">
        <v>0.323716</v>
      </c>
      <c r="F60">
        <v>0.982796</v>
      </c>
      <c r="G60">
        <f t="shared" si="21"/>
        <v>0.51003617671440515</v>
      </c>
      <c r="H60">
        <f t="shared" si="22"/>
        <v>0.2311121157200976</v>
      </c>
      <c r="J60" s="1">
        <v>1.0400000000000003</v>
      </c>
      <c r="K60">
        <v>3.2500000000000009</v>
      </c>
      <c r="L60" s="1">
        <v>9.8300000000000004E-5</v>
      </c>
      <c r="M60">
        <v>0.30856699999999998</v>
      </c>
      <c r="N60">
        <v>0.308564</v>
      </c>
      <c r="O60" s="2">
        <v>1.02471</v>
      </c>
      <c r="P60">
        <f t="shared" si="23"/>
        <v>0.5303680203730381</v>
      </c>
      <c r="Q60">
        <f t="shared" si="24"/>
        <v>0.22029263445611777</v>
      </c>
      <c r="S60">
        <v>1.0400000000000003</v>
      </c>
      <c r="T60">
        <v>3.2500000000000009</v>
      </c>
      <c r="U60">
        <v>1.08692E-4</v>
      </c>
      <c r="V60">
        <v>0.31886300000000001</v>
      </c>
      <c r="W60">
        <v>0.31885799999999997</v>
      </c>
      <c r="X60">
        <v>1.0156099999999999</v>
      </c>
      <c r="Y60">
        <f t="shared" si="25"/>
        <v>0.37700090528499131</v>
      </c>
      <c r="Z60">
        <f t="shared" si="26"/>
        <v>0.2276431708529463</v>
      </c>
      <c r="AB60">
        <v>1.0400000000000003</v>
      </c>
      <c r="AC60">
        <v>3.2500000000000009</v>
      </c>
      <c r="AD60" s="1">
        <v>7.9560000000000004E-5</v>
      </c>
      <c r="AE60">
        <v>0.340256</v>
      </c>
      <c r="AF60">
        <v>0.34025100000000003</v>
      </c>
      <c r="AG60">
        <v>1.0563100000000001</v>
      </c>
      <c r="AH60">
        <f t="shared" si="20"/>
        <v>0.27595583874134172</v>
      </c>
      <c r="AI60">
        <f t="shared" si="27"/>
        <v>0.24291609481733564</v>
      </c>
      <c r="AK60">
        <v>1.0400000000000003</v>
      </c>
      <c r="AL60">
        <v>3.2500000000000009</v>
      </c>
      <c r="AM60" s="1">
        <v>5.533E-5</v>
      </c>
      <c r="AN60">
        <v>0.35383809999999999</v>
      </c>
      <c r="AO60">
        <v>0.33837800000000001</v>
      </c>
      <c r="AP60">
        <v>1.0908199999999999</v>
      </c>
      <c r="AQ60">
        <f t="shared" si="28"/>
        <v>0.19191348111561632</v>
      </c>
      <c r="AR60">
        <f t="shared" si="29"/>
        <v>0.25261264885728946</v>
      </c>
    </row>
    <row r="61" spans="1:44" ht="15" x14ac:dyDescent="0.35">
      <c r="A61" s="2">
        <v>1.0800000000000003</v>
      </c>
      <c r="B61">
        <v>3.3750000000000009</v>
      </c>
      <c r="C61">
        <v>1.4180400000000001E-4</v>
      </c>
      <c r="D61">
        <v>0.35687600000000003</v>
      </c>
      <c r="E61">
        <v>0.35686899999999999</v>
      </c>
      <c r="F61">
        <v>1.05118</v>
      </c>
      <c r="G61">
        <f t="shared" si="21"/>
        <v>0.49185070081545024</v>
      </c>
      <c r="H61">
        <f t="shared" si="22"/>
        <v>0.25478147116885957</v>
      </c>
      <c r="J61" s="1">
        <v>1.0800000000000003</v>
      </c>
      <c r="K61">
        <v>3.3750000000000009</v>
      </c>
      <c r="L61" s="1">
        <v>9.6500000000000001E-5</v>
      </c>
      <c r="M61">
        <v>0.320552</v>
      </c>
      <c r="N61">
        <v>0.320548</v>
      </c>
      <c r="O61">
        <v>1.0866899999999999</v>
      </c>
      <c r="P61">
        <f t="shared" si="23"/>
        <v>0.52065629670394886</v>
      </c>
      <c r="Q61">
        <f t="shared" si="24"/>
        <v>0.22884898437025822</v>
      </c>
      <c r="S61">
        <v>1.0800000000000003</v>
      </c>
      <c r="T61">
        <v>3.3750000000000009</v>
      </c>
      <c r="U61">
        <v>1.10986E-4</v>
      </c>
      <c r="V61">
        <v>0.31424800000000003</v>
      </c>
      <c r="W61">
        <v>0.314245</v>
      </c>
      <c r="X61">
        <v>1.0789</v>
      </c>
      <c r="Y61">
        <f t="shared" si="25"/>
        <v>0.38495770133919743</v>
      </c>
      <c r="Z61">
        <f t="shared" si="26"/>
        <v>0.22434842284679213</v>
      </c>
      <c r="AB61">
        <v>1.0800000000000003</v>
      </c>
      <c r="AC61">
        <v>3.3750000000000009</v>
      </c>
      <c r="AD61" s="1">
        <v>7.3200000000000004E-5</v>
      </c>
      <c r="AE61">
        <v>0.35641299999999998</v>
      </c>
      <c r="AF61">
        <v>0.356408</v>
      </c>
      <c r="AG61">
        <v>1.12666</v>
      </c>
      <c r="AH61">
        <f t="shared" si="20"/>
        <v>0.25389602056141541</v>
      </c>
      <c r="AI61">
        <f t="shared" si="27"/>
        <v>0.25445092548590192</v>
      </c>
      <c r="AK61">
        <v>1.0800000000000003</v>
      </c>
      <c r="AL61">
        <v>3.3750000000000009</v>
      </c>
      <c r="AM61" s="1">
        <v>4.6699999999999997E-5</v>
      </c>
      <c r="AN61">
        <v>0.40967300000000001</v>
      </c>
      <c r="AO61">
        <v>0.40966399999999997</v>
      </c>
      <c r="AP61">
        <v>1.1642600000000001</v>
      </c>
      <c r="AQ61">
        <f t="shared" si="28"/>
        <v>0.16198011147838934</v>
      </c>
      <c r="AR61">
        <f t="shared" si="29"/>
        <v>0.29247438784944968</v>
      </c>
    </row>
    <row r="62" spans="1:44" ht="15" x14ac:dyDescent="0.35">
      <c r="A62" s="2">
        <v>1.1200000000000003</v>
      </c>
      <c r="B62">
        <v>3.5000000000000009</v>
      </c>
      <c r="C62">
        <v>1.41817E-4</v>
      </c>
      <c r="D62">
        <v>0.36373499999999998</v>
      </c>
      <c r="E62">
        <v>0.363728</v>
      </c>
      <c r="F62">
        <v>1.12374</v>
      </c>
      <c r="G62">
        <f t="shared" si="21"/>
        <v>0.49189579163877389</v>
      </c>
      <c r="H62">
        <f>D62/1.40071410359145</f>
        <v>0.25967825915893789</v>
      </c>
      <c r="J62" s="1">
        <v>1.1200000000000003</v>
      </c>
      <c r="K62">
        <v>3.5000000000000009</v>
      </c>
      <c r="L62" s="1">
        <v>9.09E-5</v>
      </c>
      <c r="M62">
        <v>0.37240200000000001</v>
      </c>
      <c r="N62">
        <v>0.372396</v>
      </c>
      <c r="O62">
        <v>1.1562399999999999</v>
      </c>
      <c r="P62">
        <f t="shared" si="23"/>
        <v>0.4904420452890047</v>
      </c>
      <c r="S62">
        <v>1.1200000000000003</v>
      </c>
      <c r="T62">
        <v>3.5000000000000009</v>
      </c>
      <c r="U62">
        <v>1.06068E-4</v>
      </c>
      <c r="V62">
        <v>0.34001399999999998</v>
      </c>
      <c r="W62">
        <v>0.34001100000000001</v>
      </c>
      <c r="X62">
        <v>1.14388</v>
      </c>
      <c r="Y62">
        <f t="shared" si="25"/>
        <v>0.36789949602333621</v>
      </c>
      <c r="AB62">
        <v>1.1200000000000003</v>
      </c>
      <c r="AC62">
        <v>3.5000000000000009</v>
      </c>
      <c r="AD62" s="1">
        <v>7.7200000000000006E-5</v>
      </c>
      <c r="AE62">
        <v>0.338559</v>
      </c>
      <c r="AF62">
        <v>0.33855499999999999</v>
      </c>
      <c r="AG62">
        <v>1.1964300000000001</v>
      </c>
      <c r="AH62">
        <f t="shared" si="20"/>
        <v>0.26777012004564582</v>
      </c>
    </row>
    <row r="63" spans="1:44" ht="15" x14ac:dyDescent="0.35">
      <c r="A63" s="2"/>
      <c r="H63" s="2"/>
      <c r="I63" s="2"/>
      <c r="J63" s="2"/>
      <c r="L63" s="1"/>
      <c r="R63" s="2"/>
    </row>
    <row r="64" spans="1:44" ht="15" x14ac:dyDescent="0.35">
      <c r="A64" s="2"/>
      <c r="H64" s="2"/>
      <c r="I64" s="2"/>
      <c r="J64" s="2"/>
      <c r="L64" s="1"/>
    </row>
    <row r="65" spans="1:12" ht="15" x14ac:dyDescent="0.35">
      <c r="A65" s="2"/>
      <c r="H65" s="2"/>
      <c r="I65" s="2"/>
      <c r="J65" s="2"/>
      <c r="L65" s="1"/>
    </row>
    <row r="66" spans="1:12" ht="15" x14ac:dyDescent="0.35">
      <c r="A66" s="2"/>
      <c r="H66" s="2"/>
      <c r="I66" s="2"/>
      <c r="J66" s="2"/>
      <c r="L66" s="1"/>
    </row>
    <row r="67" spans="1:12" ht="15" x14ac:dyDescent="0.35">
      <c r="A67" s="2"/>
      <c r="H67" s="2"/>
      <c r="I67" s="2"/>
      <c r="J67" s="2"/>
      <c r="L67" s="1"/>
    </row>
    <row r="68" spans="1:12" ht="15" x14ac:dyDescent="0.35">
      <c r="A68" s="2"/>
      <c r="H68" s="2"/>
      <c r="I68" s="2"/>
      <c r="J68" s="2"/>
      <c r="L68" s="1"/>
    </row>
    <row r="69" spans="1:12" ht="15" x14ac:dyDescent="0.35">
      <c r="A69" s="2"/>
      <c r="H69" s="2"/>
      <c r="I69" s="2"/>
      <c r="J69" s="2"/>
      <c r="L69" s="1"/>
    </row>
    <row r="70" spans="1:12" ht="15" x14ac:dyDescent="0.35">
      <c r="A70" s="2"/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Nikhil Iresh</dc:creator>
  <cp:lastModifiedBy>Nikhil Iresh</cp:lastModifiedBy>
  <dcterms:created xsi:type="dcterms:W3CDTF">2025-08-30T13:28:56Z</dcterms:created>
  <dcterms:modified xsi:type="dcterms:W3CDTF">2025-11-03T08:58:01Z</dcterms:modified>
</cp:coreProperties>
</file>