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E086DD84-14DD-4131-ACE5-0B3A72C3D92D}" xr6:coauthVersionLast="47" xr6:coauthVersionMax="47" xr10:uidLastSave="{00000000-0000-0000-0000-000000000000}"/>
  <bookViews>
    <workbookView xWindow="-108" yWindow="-108" windowWidth="23256" windowHeight="12456" xr2:uid="{AC01C8D0-6B61-45BA-8EBD-3EE062569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6" i="1"/>
  <c r="A7" i="1"/>
  <c r="A8" i="1" s="1"/>
  <c r="A9" i="1" s="1"/>
  <c r="A10" i="1" s="1"/>
  <c r="A11" i="1" s="1"/>
  <c r="A12" i="1" s="1"/>
  <c r="A13" i="1" s="1"/>
  <c r="A14" i="1" s="1"/>
  <c r="A5" i="1"/>
  <c r="AP1" i="1"/>
  <c r="AL1" i="1"/>
  <c r="I1" i="1" l="1"/>
  <c r="M1" i="1"/>
  <c r="Q1" i="1"/>
  <c r="W1" i="1"/>
  <c r="Z1" i="1"/>
  <c r="AD1" i="1"/>
  <c r="F33" i="1"/>
  <c r="B33" i="1"/>
  <c r="AH1" i="1"/>
  <c r="Q33" i="1" l="1"/>
  <c r="AH33" i="1"/>
  <c r="AD33" i="1"/>
  <c r="Z33" i="1"/>
  <c r="V33" i="1"/>
  <c r="M33" i="1"/>
  <c r="I33" i="1"/>
  <c r="E1" i="1"/>
  <c r="A1" i="1"/>
  <c r="AP33" i="1"/>
  <c r="AM33" i="1"/>
  <c r="AE63" i="1"/>
  <c r="AE62" i="1"/>
  <c r="AA62" i="1"/>
  <c r="W61" i="1"/>
  <c r="AE61" i="1"/>
  <c r="AA61" i="1"/>
  <c r="W60" i="1"/>
  <c r="AE60" i="1"/>
  <c r="AA60" i="1"/>
  <c r="W59" i="1"/>
  <c r="AE59" i="1"/>
  <c r="AA59" i="1"/>
  <c r="W58" i="1"/>
  <c r="AE58" i="1"/>
  <c r="AA58" i="1"/>
  <c r="W57" i="1"/>
  <c r="AE57" i="1"/>
  <c r="AA57" i="1"/>
  <c r="W56" i="1"/>
  <c r="AE56" i="1"/>
  <c r="AA56" i="1"/>
  <c r="W55" i="1"/>
  <c r="AE55" i="1"/>
  <c r="AA55" i="1"/>
  <c r="W54" i="1"/>
  <c r="AE54" i="1"/>
  <c r="AA54" i="1"/>
  <c r="W53" i="1"/>
  <c r="AE53" i="1"/>
  <c r="AA53" i="1"/>
  <c r="W52" i="1"/>
  <c r="AI52" i="1"/>
  <c r="AE52" i="1"/>
  <c r="AA52" i="1"/>
  <c r="W51" i="1"/>
  <c r="AI51" i="1"/>
  <c r="AE51" i="1"/>
  <c r="AA51" i="1"/>
  <c r="W50" i="1"/>
  <c r="AI50" i="1"/>
  <c r="AE50" i="1"/>
  <c r="AA50" i="1"/>
  <c r="W49" i="1"/>
  <c r="AI49" i="1"/>
  <c r="AE49" i="1"/>
  <c r="AA49" i="1"/>
  <c r="W48" i="1"/>
  <c r="AI48" i="1"/>
  <c r="AE48" i="1"/>
  <c r="AA48" i="1"/>
  <c r="W47" i="1"/>
  <c r="AI47" i="1"/>
  <c r="AE47" i="1"/>
  <c r="AA47" i="1"/>
  <c r="W46" i="1"/>
  <c r="AI46" i="1"/>
  <c r="AE46" i="1"/>
  <c r="AA46" i="1"/>
  <c r="W45" i="1"/>
  <c r="AI45" i="1"/>
  <c r="AE45" i="1"/>
  <c r="AA45" i="1"/>
  <c r="W44" i="1"/>
  <c r="AI44" i="1"/>
  <c r="AE44" i="1"/>
  <c r="AA44" i="1"/>
  <c r="W43" i="1"/>
  <c r="AI43" i="1"/>
  <c r="AE43" i="1"/>
  <c r="AA43" i="1"/>
  <c r="W42" i="1"/>
  <c r="AI42" i="1"/>
  <c r="AE42" i="1"/>
  <c r="AA42" i="1"/>
  <c r="W41" i="1"/>
  <c r="AI41" i="1"/>
  <c r="AE41" i="1"/>
  <c r="AA41" i="1"/>
  <c r="W40" i="1"/>
  <c r="AI40" i="1"/>
  <c r="AE40" i="1"/>
  <c r="AA40" i="1"/>
  <c r="W39" i="1"/>
  <c r="AI39" i="1"/>
  <c r="AE39" i="1"/>
  <c r="AA39" i="1"/>
  <c r="W38" i="1"/>
  <c r="AI38" i="1"/>
  <c r="AE38" i="1"/>
  <c r="AA38" i="1"/>
  <c r="W37" i="1"/>
  <c r="AI37" i="1"/>
  <c r="AE37" i="1"/>
  <c r="AA37" i="1"/>
  <c r="W36" i="1"/>
  <c r="AI36" i="1"/>
  <c r="AE36" i="1"/>
  <c r="AA36" i="1"/>
  <c r="AE31" i="1"/>
  <c r="AE30" i="1"/>
  <c r="AA30" i="1"/>
  <c r="AE29" i="1"/>
  <c r="AA29" i="1"/>
  <c r="W29" i="1"/>
  <c r="AE28" i="1"/>
  <c r="AA28" i="1"/>
  <c r="W28" i="1"/>
  <c r="AE27" i="1"/>
  <c r="AA27" i="1"/>
  <c r="W27" i="1"/>
  <c r="AE26" i="1"/>
  <c r="AA26" i="1"/>
  <c r="W26" i="1"/>
  <c r="AE25" i="1"/>
  <c r="AA25" i="1"/>
  <c r="W25" i="1"/>
  <c r="AE24" i="1"/>
  <c r="AA24" i="1"/>
  <c r="W24" i="1"/>
  <c r="AE23" i="1"/>
  <c r="AA23" i="1"/>
  <c r="W23" i="1"/>
  <c r="AE22" i="1"/>
  <c r="AA22" i="1"/>
  <c r="W22" i="1"/>
  <c r="AE21" i="1"/>
  <c r="AA21" i="1"/>
  <c r="W21" i="1"/>
  <c r="AE20" i="1"/>
  <c r="AA20" i="1"/>
  <c r="W20" i="1"/>
  <c r="AE19" i="1"/>
  <c r="AA19" i="1"/>
  <c r="W19" i="1"/>
  <c r="AI18" i="1"/>
  <c r="AE18" i="1"/>
  <c r="AA18" i="1"/>
  <c r="W18" i="1"/>
  <c r="AI17" i="1"/>
  <c r="AE17" i="1"/>
  <c r="AA17" i="1"/>
  <c r="W17" i="1"/>
  <c r="AI16" i="1"/>
  <c r="AE16" i="1"/>
  <c r="AA16" i="1"/>
  <c r="W16" i="1"/>
  <c r="AI15" i="1"/>
  <c r="AE15" i="1"/>
  <c r="AA15" i="1"/>
  <c r="W15" i="1"/>
  <c r="AI14" i="1"/>
  <c r="AE14" i="1"/>
  <c r="AA14" i="1"/>
  <c r="W14" i="1"/>
  <c r="AI13" i="1"/>
  <c r="AE13" i="1"/>
  <c r="AA13" i="1"/>
  <c r="W13" i="1"/>
  <c r="AI12" i="1"/>
  <c r="AE12" i="1"/>
  <c r="AA12" i="1"/>
  <c r="W12" i="1"/>
  <c r="AI11" i="1"/>
  <c r="AE11" i="1"/>
  <c r="AA11" i="1"/>
  <c r="W11" i="1"/>
  <c r="AI10" i="1"/>
  <c r="AE10" i="1"/>
  <c r="AA10" i="1"/>
  <c r="W10" i="1"/>
  <c r="AI9" i="1"/>
  <c r="AE9" i="1"/>
  <c r="AA9" i="1"/>
  <c r="W9" i="1"/>
  <c r="AI8" i="1"/>
  <c r="AE8" i="1"/>
  <c r="AA8" i="1"/>
  <c r="W8" i="1"/>
  <c r="AI7" i="1"/>
  <c r="AE7" i="1"/>
  <c r="AA7" i="1"/>
  <c r="W7" i="1"/>
  <c r="AI6" i="1"/>
  <c r="AE6" i="1"/>
  <c r="AA6" i="1"/>
  <c r="W6" i="1"/>
  <c r="AI5" i="1"/>
  <c r="AE5" i="1"/>
  <c r="AA5" i="1"/>
  <c r="W5" i="1"/>
  <c r="AI4" i="1"/>
  <c r="AE4" i="1"/>
  <c r="AA4" i="1"/>
  <c r="W4" i="1"/>
  <c r="Q38" i="1" l="1"/>
  <c r="Q37" i="1"/>
  <c r="R6" i="1"/>
  <c r="Q5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4" i="1"/>
  <c r="M62" i="1"/>
  <c r="M63" i="1" s="1"/>
  <c r="N63" i="1" s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4" i="1"/>
  <c r="M30" i="1"/>
  <c r="M31" i="1" s="1"/>
  <c r="N31" i="1" s="1"/>
  <c r="I62" i="1"/>
  <c r="I63" i="1" s="1"/>
  <c r="J63" i="1" s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26" i="1"/>
  <c r="J27" i="1"/>
  <c r="J28" i="1"/>
  <c r="J29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4" i="1"/>
  <c r="I30" i="1"/>
  <c r="I31" i="1" s="1"/>
  <c r="J31" i="1" s="1"/>
  <c r="E61" i="1"/>
  <c r="E62" i="1" s="1"/>
  <c r="F62" i="1" s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E29" i="1"/>
  <c r="E30" i="1" s="1"/>
  <c r="F30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4" i="1"/>
  <c r="B30" i="1"/>
  <c r="J30" i="1" l="1"/>
  <c r="N62" i="1"/>
  <c r="N30" i="1"/>
  <c r="J62" i="1"/>
  <c r="F61" i="1"/>
  <c r="F29" i="1"/>
  <c r="B62" i="1"/>
  <c r="B31" i="1"/>
</calcChain>
</file>

<file path=xl/sharedStrings.xml><?xml version="1.0" encoding="utf-8"?>
<sst xmlns="http://schemas.openxmlformats.org/spreadsheetml/2006/main" count="73" uniqueCount="5">
  <si>
    <t>t(s)</t>
  </si>
  <si>
    <t>T_dim</t>
  </si>
  <si>
    <t>Y/W</t>
  </si>
  <si>
    <t>t_dim</t>
  </si>
  <si>
    <t>BUBBLE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</si>
</sst>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4" fillId="0" borderId="0" xfId="1" applyFont="1"/>
    <xf numFmtId="0" fontId="0" fillId="0" borderId="0" xfId="0" applyFont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335-EF93-4673-A1CB-CF5010343683}">
  <dimension ref="A1:AQ65"/>
  <sheetViews>
    <sheetView tabSelected="1" zoomScale="73" zoomScaleNormal="52" workbookViewId="0"/>
  </sheetViews>
  <sheetFormatPr defaultRowHeight="14.4" x14ac:dyDescent="0.3"/>
  <sheetData>
    <row r="1" spans="1:43" ht="15" x14ac:dyDescent="0.35">
      <c r="A1" s="4" t="str">
        <f>"A"&amp;_xlfn.UNICHAR(8348)&amp;" = 0.4, n = 1.2, K"&amp;_xlfn.UNICHAR(8321)</f>
        <v>Aₜ = 0.4, n = 1.2, K₁</v>
      </c>
      <c r="C1" s="1"/>
      <c r="D1" s="2"/>
      <c r="E1" s="4" t="str">
        <f>"A"&amp;_xlfn.UNICHAR(8348)&amp;" = 0.4, n = 1.3, K"&amp;_xlfn.UNICHAR(8321)</f>
        <v>Aₜ = 0.4, n = 1.3, K₁</v>
      </c>
      <c r="F1" s="2"/>
      <c r="G1" s="2"/>
      <c r="I1" s="4" t="str">
        <f>"A"&amp;_xlfn.UNICHAR(8348)&amp;" = 0.4, n = 1.4, K"&amp;_xlfn.UNICHAR(8321)</f>
        <v>Aₜ = 0.4, n = 1.4, K₁</v>
      </c>
      <c r="J1" s="3"/>
      <c r="K1" s="3"/>
      <c r="M1" s="4" t="str">
        <f>"A"&amp;_xlfn.UNICHAR(8348)&amp;" = 0.4, n = 1.5, K"&amp;_xlfn.UNICHAR(8321)</f>
        <v>Aₜ = 0.4, n = 1.5, K₁</v>
      </c>
      <c r="Q1" s="4" t="str">
        <f>"A"&amp;_xlfn.UNICHAR(8348)&amp;" = 0.4, n = 1, K"&amp;_xlfn.UNICHAR(8321)</f>
        <v>Aₜ = 0.4, n = 1, K₁</v>
      </c>
      <c r="W1" s="4" t="str">
        <f>"A"&amp;_xlfn.UNICHAR(8348)&amp;" = 0.2, n = 1.2, K"&amp;_xlfn.UNICHAR(8321)</f>
        <v>Aₜ = 0.2, n = 1.2, K₁</v>
      </c>
      <c r="Y1" s="2"/>
      <c r="Z1" s="4" t="str">
        <f>"A"&amp;_xlfn.UNICHAR(8348)&amp;" = 0.2, n = 1.3, K"&amp;_xlfn.UNICHAR(8321)</f>
        <v>Aₜ = 0.2, n = 1.3, K₁</v>
      </c>
      <c r="AA1" s="2"/>
      <c r="AB1" s="2"/>
      <c r="AD1" s="4" t="str">
        <f>"A"&amp;_xlfn.UNICHAR(8348)&amp;" = 0.2, n = 1.4, K"&amp;_xlfn.UNICHAR(8321)</f>
        <v>Aₜ = 0.2, n = 1.4, K₁</v>
      </c>
      <c r="AE1" s="3"/>
      <c r="AF1" s="3"/>
      <c r="AH1" s="4" t="str">
        <f>"A"&amp;_xlfn.UNICHAR(8348)&amp;" = 0.2, n = 1.5, K"&amp;_xlfn.UNICHAR(8321)</f>
        <v>Aₜ = 0.2, n = 1.5, K₁</v>
      </c>
      <c r="AL1" s="4" t="str">
        <f>"A"&amp;_xlfn.UNICHAR(8348)&amp;" = 0.4, n = 1.2, K"&amp;_xlfn.UNICHAR(8322)</f>
        <v>Aₜ = 0.4, n = 1.2, K₂</v>
      </c>
      <c r="AP1" s="4" t="str">
        <f>"A"&amp;_xlfn.UNICHAR(8348)&amp;" = 0.2, n = 1.2, K"&amp;_xlfn.UNICHAR(8322)</f>
        <v>Aₜ = 0.2, n = 1.2, K₂</v>
      </c>
    </row>
    <row r="2" spans="1:43" x14ac:dyDescent="0.3">
      <c r="A2" t="s">
        <v>0</v>
      </c>
      <c r="B2" t="s">
        <v>1</v>
      </c>
      <c r="C2" t="s">
        <v>2</v>
      </c>
      <c r="E2" t="s">
        <v>0</v>
      </c>
      <c r="F2" t="s">
        <v>3</v>
      </c>
      <c r="G2" t="s">
        <v>2</v>
      </c>
      <c r="I2" t="s">
        <v>0</v>
      </c>
      <c r="J2" t="s">
        <v>3</v>
      </c>
      <c r="K2" t="s">
        <v>2</v>
      </c>
      <c r="M2" t="s">
        <v>0</v>
      </c>
      <c r="N2" t="s">
        <v>3</v>
      </c>
      <c r="O2" t="s">
        <v>2</v>
      </c>
      <c r="Q2" t="s">
        <v>0</v>
      </c>
      <c r="R2" t="s">
        <v>3</v>
      </c>
      <c r="S2" t="s">
        <v>2</v>
      </c>
      <c r="V2" t="s">
        <v>0</v>
      </c>
      <c r="W2" t="s">
        <v>3</v>
      </c>
      <c r="X2" t="s">
        <v>2</v>
      </c>
      <c r="Z2" t="s">
        <v>0</v>
      </c>
      <c r="AA2" t="s">
        <v>3</v>
      </c>
      <c r="AB2" t="s">
        <v>2</v>
      </c>
      <c r="AD2" t="s">
        <v>0</v>
      </c>
      <c r="AE2" t="s">
        <v>3</v>
      </c>
      <c r="AF2" t="s">
        <v>2</v>
      </c>
      <c r="AH2" t="s">
        <v>0</v>
      </c>
      <c r="AI2" t="s">
        <v>3</v>
      </c>
      <c r="AJ2" t="s">
        <v>2</v>
      </c>
      <c r="AL2" t="s">
        <v>3</v>
      </c>
      <c r="AM2" t="s">
        <v>2</v>
      </c>
      <c r="AP2" t="s">
        <v>3</v>
      </c>
      <c r="AQ2" t="s">
        <v>2</v>
      </c>
    </row>
    <row r="3" spans="1:43" ht="15" x14ac:dyDescent="0.35">
      <c r="A3" s="5">
        <v>0</v>
      </c>
      <c r="B3">
        <v>0</v>
      </c>
      <c r="C3">
        <v>-0.1</v>
      </c>
      <c r="E3" s="6">
        <v>0</v>
      </c>
      <c r="F3">
        <v>0</v>
      </c>
      <c r="G3">
        <v>-0.1</v>
      </c>
      <c r="I3">
        <v>0</v>
      </c>
      <c r="J3">
        <v>0</v>
      </c>
      <c r="K3">
        <v>-0.1</v>
      </c>
      <c r="M3">
        <v>0</v>
      </c>
      <c r="N3">
        <v>0</v>
      </c>
      <c r="O3">
        <v>-0.1</v>
      </c>
      <c r="Q3">
        <v>0</v>
      </c>
      <c r="R3">
        <v>0</v>
      </c>
      <c r="S3">
        <v>-0.1</v>
      </c>
      <c r="V3">
        <v>0</v>
      </c>
      <c r="W3">
        <v>0</v>
      </c>
      <c r="X3">
        <v>-0.1</v>
      </c>
      <c r="Z3" s="4"/>
      <c r="AA3">
        <v>0</v>
      </c>
      <c r="AB3">
        <v>-0.1</v>
      </c>
      <c r="AD3" s="4">
        <v>0</v>
      </c>
      <c r="AE3">
        <v>0</v>
      </c>
      <c r="AF3">
        <v>-0.1</v>
      </c>
      <c r="AH3">
        <v>0</v>
      </c>
      <c r="AI3">
        <v>0</v>
      </c>
      <c r="AJ3">
        <v>-0.1</v>
      </c>
      <c r="AL3" s="6">
        <v>0</v>
      </c>
      <c r="AM3">
        <v>-0.1</v>
      </c>
      <c r="AP3">
        <v>0</v>
      </c>
      <c r="AQ3">
        <v>-0.1</v>
      </c>
    </row>
    <row r="4" spans="1:43" ht="15" x14ac:dyDescent="0.35">
      <c r="A4" s="5">
        <v>2.8199999999999999E-2</v>
      </c>
      <c r="B4">
        <f>A4/0.2256</f>
        <v>0.125</v>
      </c>
      <c r="C4">
        <v>-0.103116</v>
      </c>
      <c r="E4" s="7">
        <v>2.8199999999999999E-2</v>
      </c>
      <c r="F4">
        <f>E4/0.2256</f>
        <v>0.125</v>
      </c>
      <c r="G4">
        <v>-0.103228</v>
      </c>
      <c r="I4" s="4">
        <v>2.8199999999999999E-2</v>
      </c>
      <c r="J4">
        <f>I4/0.2256</f>
        <v>0.125</v>
      </c>
      <c r="K4">
        <v>-0.103287</v>
      </c>
      <c r="M4">
        <v>2.8199999999999999E-2</v>
      </c>
      <c r="N4">
        <f>M4/0.2256</f>
        <v>0.125</v>
      </c>
      <c r="O4">
        <v>-0.10333199999999999</v>
      </c>
      <c r="Q4" s="4">
        <v>5.6399999999999999E-2</v>
      </c>
      <c r="R4">
        <f>Q4/0.2256</f>
        <v>0.25</v>
      </c>
      <c r="S4">
        <v>-0.114416</v>
      </c>
      <c r="V4" s="4">
        <v>0.08</v>
      </c>
      <c r="W4">
        <f t="shared" ref="W4:W29" si="0">V4/0.32</f>
        <v>0.25</v>
      </c>
      <c r="X4">
        <v>-0.112054</v>
      </c>
      <c r="Z4" s="4">
        <v>0.04</v>
      </c>
      <c r="AA4">
        <f>Z4/0.32</f>
        <v>0.125</v>
      </c>
      <c r="AB4">
        <v>-0.10235900000000001</v>
      </c>
      <c r="AD4" s="4">
        <v>0.04</v>
      </c>
      <c r="AE4">
        <f>AD4/0.32</f>
        <v>0.125</v>
      </c>
      <c r="AF4">
        <v>-0.10289</v>
      </c>
      <c r="AH4" s="4">
        <v>0.08</v>
      </c>
      <c r="AI4">
        <f>AH4/0.32</f>
        <v>0.25</v>
      </c>
      <c r="AJ4">
        <v>-0.110108</v>
      </c>
      <c r="AL4" s="7">
        <v>0.125</v>
      </c>
      <c r="AM4">
        <v>-0.103423</v>
      </c>
      <c r="AP4">
        <v>0.125</v>
      </c>
      <c r="AQ4">
        <v>-0.10324899999999999</v>
      </c>
    </row>
    <row r="5" spans="1:43" ht="15" x14ac:dyDescent="0.35">
      <c r="A5" s="5">
        <f>A4+0.0282</f>
        <v>5.6399999999999999E-2</v>
      </c>
      <c r="B5">
        <v>0.25</v>
      </c>
      <c r="C5">
        <v>-0.113329</v>
      </c>
      <c r="E5" s="7">
        <v>5.6399999999999999E-2</v>
      </c>
      <c r="F5">
        <f t="shared" ref="F5:F30" si="1">E5/0.2256</f>
        <v>0.25</v>
      </c>
      <c r="G5">
        <v>-0.11355999999999999</v>
      </c>
      <c r="I5" s="4">
        <v>5.6399999999999999E-2</v>
      </c>
      <c r="J5">
        <f t="shared" ref="J5:J30" si="2">I5/0.2256</f>
        <v>0.25</v>
      </c>
      <c r="K5">
        <v>-0.11360000000000001</v>
      </c>
      <c r="M5">
        <v>5.6399999999999999E-2</v>
      </c>
      <c r="N5">
        <f t="shared" ref="N5:N29" si="3">M5/0.2256</f>
        <v>0.25</v>
      </c>
      <c r="O5">
        <v>-0.113582</v>
      </c>
      <c r="Q5" s="4">
        <f>0.375*0.2256</f>
        <v>8.4599999999999995E-2</v>
      </c>
      <c r="R5">
        <v>0.375</v>
      </c>
      <c r="S5">
        <v>-0.13452900000000001</v>
      </c>
      <c r="V5" s="4">
        <v>0.12</v>
      </c>
      <c r="W5">
        <f t="shared" si="0"/>
        <v>0.375</v>
      </c>
      <c r="X5">
        <v>-0.12920599999999999</v>
      </c>
      <c r="Z5" s="4">
        <v>0.08</v>
      </c>
      <c r="AA5">
        <f t="shared" ref="AA5:AA30" si="4">Z5/0.32</f>
        <v>0.25</v>
      </c>
      <c r="AB5">
        <v>-0.110013</v>
      </c>
      <c r="AD5" s="4">
        <v>0.08</v>
      </c>
      <c r="AE5">
        <f t="shared" ref="AE5:AE31" si="5">AD5/0.32</f>
        <v>0.25</v>
      </c>
      <c r="AF5">
        <v>-0.111885</v>
      </c>
      <c r="AH5" s="4">
        <v>0.16</v>
      </c>
      <c r="AI5">
        <f t="shared" ref="AI5:AI18" si="6">AH5/0.32</f>
        <v>0.5</v>
      </c>
      <c r="AJ5">
        <v>-0.14334</v>
      </c>
      <c r="AL5" s="7">
        <v>0.25</v>
      </c>
      <c r="AM5">
        <v>-0.114708</v>
      </c>
      <c r="AP5">
        <v>0.25</v>
      </c>
      <c r="AQ5">
        <v>-0.11477900000000001</v>
      </c>
    </row>
    <row r="6" spans="1:43" ht="15" x14ac:dyDescent="0.35">
      <c r="A6" s="5">
        <f t="shared" ref="A6:A31" si="7">A5+0.0282</f>
        <v>8.4599999999999995E-2</v>
      </c>
      <c r="B6">
        <f t="shared" ref="B6:B31" si="8">A6/0.2256</f>
        <v>0.375</v>
      </c>
      <c r="C6">
        <v>-0.131967</v>
      </c>
      <c r="E6" s="7">
        <v>8.4599999999999995E-2</v>
      </c>
      <c r="F6">
        <f t="shared" si="1"/>
        <v>0.375</v>
      </c>
      <c r="G6">
        <v>-0.13212399999999999</v>
      </c>
      <c r="I6" s="4">
        <v>8.4599999999999995E-2</v>
      </c>
      <c r="J6">
        <f t="shared" si="2"/>
        <v>0.375</v>
      </c>
      <c r="K6">
        <v>-0.131911</v>
      </c>
      <c r="M6">
        <v>8.4599999999999995E-2</v>
      </c>
      <c r="N6">
        <f t="shared" si="3"/>
        <v>0.375</v>
      </c>
      <c r="O6">
        <v>-0.13142599999999999</v>
      </c>
      <c r="Q6" s="4">
        <v>0.1128</v>
      </c>
      <c r="R6">
        <f>Q6/0.2256</f>
        <v>0.5</v>
      </c>
      <c r="S6">
        <v>-0.16381000000000001</v>
      </c>
      <c r="V6" s="4">
        <v>0.16</v>
      </c>
      <c r="W6">
        <f t="shared" si="0"/>
        <v>0.5</v>
      </c>
      <c r="X6">
        <v>-0.15442400000000001</v>
      </c>
      <c r="Z6" s="4">
        <v>0.12</v>
      </c>
      <c r="AA6">
        <f t="shared" si="4"/>
        <v>0.375</v>
      </c>
      <c r="AB6">
        <v>-0.12432799999999999</v>
      </c>
      <c r="AD6" s="4">
        <v>0.12</v>
      </c>
      <c r="AE6">
        <f t="shared" si="5"/>
        <v>0.375</v>
      </c>
      <c r="AF6">
        <v>-0.12804099999999999</v>
      </c>
      <c r="AH6" s="4">
        <v>0.24</v>
      </c>
      <c r="AI6">
        <f t="shared" si="6"/>
        <v>0.75</v>
      </c>
      <c r="AJ6">
        <v>-0.20225799999999999</v>
      </c>
      <c r="AL6" s="7">
        <v>0.375</v>
      </c>
      <c r="AM6">
        <v>-0.134848</v>
      </c>
      <c r="AP6">
        <v>0.375</v>
      </c>
      <c r="AQ6">
        <v>-0.13489000000000001</v>
      </c>
    </row>
    <row r="7" spans="1:43" ht="15" x14ac:dyDescent="0.35">
      <c r="A7" s="5">
        <f t="shared" si="7"/>
        <v>0.1128</v>
      </c>
      <c r="B7">
        <f t="shared" si="8"/>
        <v>0.5</v>
      </c>
      <c r="C7">
        <v>-0.15950700000000001</v>
      </c>
      <c r="E7" s="7">
        <v>0.1128</v>
      </c>
      <c r="F7">
        <f t="shared" si="1"/>
        <v>0.5</v>
      </c>
      <c r="G7">
        <v>-0.15938099999999999</v>
      </c>
      <c r="I7" s="4">
        <v>0.1128</v>
      </c>
      <c r="J7">
        <f t="shared" si="2"/>
        <v>0.5</v>
      </c>
      <c r="K7">
        <v>-0.158641</v>
      </c>
      <c r="M7">
        <v>0.1128</v>
      </c>
      <c r="N7">
        <f t="shared" si="3"/>
        <v>0.5</v>
      </c>
      <c r="O7">
        <v>-0.15661600000000001</v>
      </c>
      <c r="Q7" s="4">
        <v>0.14099999999999999</v>
      </c>
      <c r="R7">
        <f t="shared" ref="R7:R30" si="9">Q7/0.2256</f>
        <v>0.625</v>
      </c>
      <c r="S7">
        <v>-0.20194100000000001</v>
      </c>
      <c r="V7" s="4">
        <v>0.2</v>
      </c>
      <c r="W7">
        <f t="shared" si="0"/>
        <v>0.625</v>
      </c>
      <c r="X7">
        <v>-0.18740799999999999</v>
      </c>
      <c r="Z7" s="4">
        <v>0.16</v>
      </c>
      <c r="AA7">
        <f t="shared" si="4"/>
        <v>0.5</v>
      </c>
      <c r="AB7">
        <v>-0.14579800000000001</v>
      </c>
      <c r="AD7" s="4">
        <v>0.16</v>
      </c>
      <c r="AE7">
        <f t="shared" si="5"/>
        <v>0.5</v>
      </c>
      <c r="AF7">
        <v>-0.15112200000000001</v>
      </c>
      <c r="AH7" s="4">
        <v>0.32</v>
      </c>
      <c r="AI7">
        <f t="shared" si="6"/>
        <v>1</v>
      </c>
      <c r="AJ7">
        <v>-0.28326200000000001</v>
      </c>
      <c r="AL7" s="7">
        <v>0.5</v>
      </c>
      <c r="AM7">
        <v>-0.164158</v>
      </c>
      <c r="AP7">
        <v>0.5</v>
      </c>
      <c r="AQ7">
        <v>-0.16340099999999999</v>
      </c>
    </row>
    <row r="8" spans="1:43" ht="15" x14ac:dyDescent="0.35">
      <c r="A8" s="5">
        <f t="shared" si="7"/>
        <v>0.14099999999999999</v>
      </c>
      <c r="B8">
        <f t="shared" si="8"/>
        <v>0.625</v>
      </c>
      <c r="C8">
        <v>-0.19583800000000001</v>
      </c>
      <c r="E8" s="7">
        <v>0.14099999999999999</v>
      </c>
      <c r="F8">
        <f t="shared" si="1"/>
        <v>0.625</v>
      </c>
      <c r="G8">
        <v>-0.19522300000000001</v>
      </c>
      <c r="I8" s="4">
        <v>0.14099999999999999</v>
      </c>
      <c r="J8">
        <f t="shared" si="2"/>
        <v>0.625</v>
      </c>
      <c r="K8">
        <v>-0.19355</v>
      </c>
      <c r="M8">
        <v>0.14099999999999999</v>
      </c>
      <c r="N8">
        <f t="shared" si="3"/>
        <v>0.625</v>
      </c>
      <c r="O8">
        <v>-0.18903800000000001</v>
      </c>
      <c r="Q8" s="4">
        <v>0.16919999999999999</v>
      </c>
      <c r="R8">
        <f t="shared" si="9"/>
        <v>0.75</v>
      </c>
      <c r="S8">
        <v>-0.24779899999999999</v>
      </c>
      <c r="V8" s="4">
        <v>0.24000000000000002</v>
      </c>
      <c r="W8">
        <f t="shared" si="0"/>
        <v>0.75</v>
      </c>
      <c r="X8">
        <v>-0.2271</v>
      </c>
      <c r="Z8" s="4">
        <v>0.24</v>
      </c>
      <c r="AA8">
        <f t="shared" si="4"/>
        <v>0.75</v>
      </c>
      <c r="AB8">
        <v>-0.21039099999999999</v>
      </c>
      <c r="AD8" s="4">
        <v>0.2</v>
      </c>
      <c r="AE8">
        <f t="shared" si="5"/>
        <v>0.625</v>
      </c>
      <c r="AF8">
        <v>-0.18049399999999999</v>
      </c>
      <c r="AH8" s="4">
        <v>0.4</v>
      </c>
      <c r="AI8">
        <f t="shared" si="6"/>
        <v>1.25</v>
      </c>
      <c r="AJ8">
        <v>-0.37854300000000002</v>
      </c>
      <c r="AL8" s="7">
        <v>0.625</v>
      </c>
      <c r="AM8">
        <v>-0.20235</v>
      </c>
      <c r="AP8">
        <v>0.625</v>
      </c>
      <c r="AQ8">
        <v>-0.19959499999999999</v>
      </c>
    </row>
    <row r="9" spans="1:43" ht="15" x14ac:dyDescent="0.35">
      <c r="A9" s="5">
        <f t="shared" si="7"/>
        <v>0.16919999999999999</v>
      </c>
      <c r="B9">
        <f t="shared" si="8"/>
        <v>0.75</v>
      </c>
      <c r="C9">
        <v>-0.24010200000000001</v>
      </c>
      <c r="E9" s="7">
        <v>0.16919999999999999</v>
      </c>
      <c r="F9">
        <f t="shared" si="1"/>
        <v>0.75</v>
      </c>
      <c r="G9">
        <v>-0.23860899999999999</v>
      </c>
      <c r="I9" s="4">
        <v>0.16919999999999999</v>
      </c>
      <c r="J9">
        <f t="shared" si="2"/>
        <v>0.75</v>
      </c>
      <c r="K9">
        <v>-0.23566799999999999</v>
      </c>
      <c r="M9">
        <v>0.16919999999999999</v>
      </c>
      <c r="N9">
        <f t="shared" si="3"/>
        <v>0.75</v>
      </c>
      <c r="O9">
        <v>-0.22775000000000001</v>
      </c>
      <c r="Q9" s="4">
        <v>0.19739999999999999</v>
      </c>
      <c r="R9">
        <f t="shared" si="9"/>
        <v>0.875</v>
      </c>
      <c r="S9">
        <v>-0.29966799999999999</v>
      </c>
      <c r="V9" s="4">
        <v>0.28000000000000003</v>
      </c>
      <c r="W9">
        <f t="shared" si="0"/>
        <v>0.87500000000000011</v>
      </c>
      <c r="X9">
        <v>-0.27199899999999999</v>
      </c>
      <c r="Z9" s="4">
        <v>0.28000000000000003</v>
      </c>
      <c r="AA9">
        <f t="shared" si="4"/>
        <v>0.87500000000000011</v>
      </c>
      <c r="AB9">
        <v>-0.25215300000000002</v>
      </c>
      <c r="AD9" s="4">
        <v>0.24</v>
      </c>
      <c r="AE9">
        <f t="shared" si="5"/>
        <v>0.75</v>
      </c>
      <c r="AF9">
        <v>-0.21552499999999999</v>
      </c>
      <c r="AH9" s="4">
        <v>0.48</v>
      </c>
      <c r="AI9">
        <f t="shared" si="6"/>
        <v>1.5</v>
      </c>
      <c r="AJ9">
        <v>-0.480072</v>
      </c>
      <c r="AL9" s="7">
        <v>0.75</v>
      </c>
      <c r="AM9">
        <v>-0.24834300000000001</v>
      </c>
      <c r="AP9">
        <v>0.75</v>
      </c>
      <c r="AQ9">
        <v>-0.242115</v>
      </c>
    </row>
    <row r="10" spans="1:43" ht="15" x14ac:dyDescent="0.35">
      <c r="A10" s="5">
        <f t="shared" si="7"/>
        <v>0.19739999999999999</v>
      </c>
      <c r="B10">
        <f t="shared" si="8"/>
        <v>0.875</v>
      </c>
      <c r="C10">
        <v>-0.29084700000000002</v>
      </c>
      <c r="E10" s="7">
        <v>0.19739999999999999</v>
      </c>
      <c r="F10">
        <f t="shared" si="1"/>
        <v>0.875</v>
      </c>
      <c r="G10">
        <v>-0.28822199999999998</v>
      </c>
      <c r="I10" s="4">
        <v>0.19739999999999999</v>
      </c>
      <c r="J10">
        <f t="shared" si="2"/>
        <v>0.875</v>
      </c>
      <c r="K10">
        <v>-0.28394900000000001</v>
      </c>
      <c r="M10">
        <v>0.19739999999999999</v>
      </c>
      <c r="N10">
        <f t="shared" si="3"/>
        <v>0.875</v>
      </c>
      <c r="O10">
        <v>-0.27192699999999997</v>
      </c>
      <c r="Q10" s="4">
        <v>0.22559999999999999</v>
      </c>
      <c r="R10">
        <f t="shared" si="9"/>
        <v>1</v>
      </c>
      <c r="S10">
        <v>-0.355653</v>
      </c>
      <c r="V10" s="4">
        <v>0.32</v>
      </c>
      <c r="W10">
        <f t="shared" si="0"/>
        <v>1</v>
      </c>
      <c r="X10">
        <v>-0.320577</v>
      </c>
      <c r="Z10" s="4">
        <v>0.32</v>
      </c>
      <c r="AA10">
        <f t="shared" si="4"/>
        <v>1</v>
      </c>
      <c r="AB10">
        <v>-0.29858499999999999</v>
      </c>
      <c r="AD10" s="4">
        <v>0.28000000000000003</v>
      </c>
      <c r="AE10">
        <f t="shared" si="5"/>
        <v>0.87500000000000011</v>
      </c>
      <c r="AF10">
        <v>-0.25557800000000003</v>
      </c>
      <c r="AH10" s="4">
        <v>0.56000000000000005</v>
      </c>
      <c r="AI10">
        <f t="shared" si="6"/>
        <v>1.7500000000000002</v>
      </c>
      <c r="AJ10">
        <v>-0.58079099999999995</v>
      </c>
      <c r="AL10" s="7">
        <v>0.875</v>
      </c>
      <c r="AM10">
        <v>-0.30051</v>
      </c>
      <c r="AP10">
        <v>0.87500000000000011</v>
      </c>
      <c r="AQ10">
        <v>-0.28922399999999998</v>
      </c>
    </row>
    <row r="11" spans="1:43" ht="15" x14ac:dyDescent="0.35">
      <c r="A11" s="5">
        <f t="shared" si="7"/>
        <v>0.22559999999999999</v>
      </c>
      <c r="B11">
        <f t="shared" si="8"/>
        <v>1</v>
      </c>
      <c r="C11">
        <v>-0.34630499999999997</v>
      </c>
      <c r="E11" s="7">
        <v>0.22559999999999999</v>
      </c>
      <c r="F11">
        <f t="shared" si="1"/>
        <v>1</v>
      </c>
      <c r="G11">
        <v>-0.34269500000000003</v>
      </c>
      <c r="I11" s="4">
        <v>0.22559999999999999</v>
      </c>
      <c r="J11">
        <f t="shared" si="2"/>
        <v>1</v>
      </c>
      <c r="K11">
        <v>-0.33680300000000002</v>
      </c>
      <c r="M11">
        <v>0.22559999999999999</v>
      </c>
      <c r="N11">
        <f t="shared" si="3"/>
        <v>1</v>
      </c>
      <c r="O11">
        <v>-0.320824</v>
      </c>
      <c r="Q11" s="4">
        <v>0.25380000000000003</v>
      </c>
      <c r="R11">
        <f t="shared" si="9"/>
        <v>1.1250000000000002</v>
      </c>
      <c r="S11">
        <v>-0.41395799999999999</v>
      </c>
      <c r="V11" s="4">
        <v>0.36</v>
      </c>
      <c r="W11">
        <f t="shared" si="0"/>
        <v>1.125</v>
      </c>
      <c r="X11">
        <v>-0.37131199999999998</v>
      </c>
      <c r="Z11" s="4">
        <v>0.36</v>
      </c>
      <c r="AA11">
        <f t="shared" si="4"/>
        <v>1.125</v>
      </c>
      <c r="AB11">
        <v>-0.348248</v>
      </c>
      <c r="AD11" s="4">
        <v>0.32</v>
      </c>
      <c r="AE11">
        <f t="shared" si="5"/>
        <v>1</v>
      </c>
      <c r="AF11">
        <v>-0.29975499999999999</v>
      </c>
      <c r="AH11" s="4">
        <v>0.64</v>
      </c>
      <c r="AI11">
        <f t="shared" si="6"/>
        <v>2</v>
      </c>
      <c r="AJ11">
        <v>-0.67591599999999996</v>
      </c>
      <c r="AL11" s="7">
        <v>1</v>
      </c>
      <c r="AM11">
        <v>-0.35706599999999999</v>
      </c>
      <c r="AP11">
        <v>1</v>
      </c>
      <c r="AQ11">
        <v>-0.33913500000000002</v>
      </c>
    </row>
    <row r="12" spans="1:43" ht="15" x14ac:dyDescent="0.35">
      <c r="A12" s="5">
        <f t="shared" si="7"/>
        <v>0.25379999999999997</v>
      </c>
      <c r="B12">
        <f t="shared" si="8"/>
        <v>1.125</v>
      </c>
      <c r="C12">
        <v>-0.40482499999999999</v>
      </c>
      <c r="E12" s="7">
        <v>0.25380000000000003</v>
      </c>
      <c r="F12">
        <f t="shared" si="1"/>
        <v>1.1250000000000002</v>
      </c>
      <c r="G12">
        <v>-0.40060499999999999</v>
      </c>
      <c r="I12" s="4">
        <v>0.25380000000000003</v>
      </c>
      <c r="J12">
        <f t="shared" si="2"/>
        <v>1.1250000000000002</v>
      </c>
      <c r="K12">
        <v>-0.39303100000000002</v>
      </c>
      <c r="M12">
        <v>0.25380000000000003</v>
      </c>
      <c r="N12">
        <f t="shared" si="3"/>
        <v>1.1250000000000002</v>
      </c>
      <c r="O12">
        <v>-0.37357600000000002</v>
      </c>
      <c r="Q12" s="4">
        <v>0.28199999999999997</v>
      </c>
      <c r="R12">
        <f t="shared" si="9"/>
        <v>1.25</v>
      </c>
      <c r="S12">
        <v>-0.472889</v>
      </c>
      <c r="V12" s="4">
        <v>0.39999999999999997</v>
      </c>
      <c r="W12">
        <f t="shared" si="0"/>
        <v>1.2499999999999998</v>
      </c>
      <c r="X12">
        <v>-0.42298000000000002</v>
      </c>
      <c r="Z12" s="4">
        <v>0.4</v>
      </c>
      <c r="AA12">
        <f t="shared" si="4"/>
        <v>1.25</v>
      </c>
      <c r="AB12">
        <v>-0.39979100000000001</v>
      </c>
      <c r="AD12" s="4">
        <v>0.36</v>
      </c>
      <c r="AE12">
        <f t="shared" si="5"/>
        <v>1.125</v>
      </c>
      <c r="AF12">
        <v>-0.34703400000000001</v>
      </c>
      <c r="AH12" s="4">
        <v>0.72</v>
      </c>
      <c r="AI12">
        <f t="shared" si="6"/>
        <v>2.25</v>
      </c>
      <c r="AJ12">
        <v>-0.76669299999999996</v>
      </c>
      <c r="AL12" s="7">
        <v>1.1250000000000002</v>
      </c>
      <c r="AM12">
        <v>-0.416321</v>
      </c>
      <c r="AP12">
        <v>1.125</v>
      </c>
      <c r="AQ12">
        <v>-0.39019300000000001</v>
      </c>
    </row>
    <row r="13" spans="1:43" ht="15" x14ac:dyDescent="0.35">
      <c r="A13" s="5">
        <f t="shared" si="7"/>
        <v>0.28199999999999997</v>
      </c>
      <c r="B13">
        <f t="shared" si="8"/>
        <v>1.25</v>
      </c>
      <c r="C13">
        <v>-0.46501799999999999</v>
      </c>
      <c r="E13" s="7">
        <v>0.28199999999999997</v>
      </c>
      <c r="F13">
        <f t="shared" si="1"/>
        <v>1.25</v>
      </c>
      <c r="G13">
        <v>-0.46047300000000002</v>
      </c>
      <c r="I13" s="4">
        <v>0.28199999999999997</v>
      </c>
      <c r="J13">
        <f t="shared" si="2"/>
        <v>1.25</v>
      </c>
      <c r="K13">
        <v>-0.451677</v>
      </c>
      <c r="M13">
        <v>0.28199999999999997</v>
      </c>
      <c r="N13">
        <f t="shared" si="3"/>
        <v>1.25</v>
      </c>
      <c r="O13">
        <v>-0.42935299999999998</v>
      </c>
      <c r="Q13" s="4">
        <v>0.31019999999999998</v>
      </c>
      <c r="R13">
        <f t="shared" si="9"/>
        <v>1.375</v>
      </c>
      <c r="S13">
        <v>-0.53106600000000004</v>
      </c>
      <c r="V13" s="4">
        <v>0.43999999999999995</v>
      </c>
      <c r="W13">
        <f t="shared" si="0"/>
        <v>1.3749999999999998</v>
      </c>
      <c r="X13">
        <v>-0.47439599999999998</v>
      </c>
      <c r="Z13" s="4">
        <v>0.44</v>
      </c>
      <c r="AA13">
        <f t="shared" si="4"/>
        <v>1.375</v>
      </c>
      <c r="AB13">
        <v>-0.45196700000000001</v>
      </c>
      <c r="AD13" s="4">
        <v>0.4</v>
      </c>
      <c r="AE13">
        <f t="shared" si="5"/>
        <v>1.25</v>
      </c>
      <c r="AF13">
        <v>-0.39640500000000001</v>
      </c>
      <c r="AH13" s="4">
        <v>0.8</v>
      </c>
      <c r="AI13">
        <f t="shared" si="6"/>
        <v>2.5</v>
      </c>
      <c r="AJ13">
        <v>-0.85778799999999999</v>
      </c>
      <c r="AL13" s="7">
        <v>1.25</v>
      </c>
      <c r="AM13">
        <v>-0.47669499999999998</v>
      </c>
      <c r="AP13">
        <v>1.2499999999999998</v>
      </c>
      <c r="AQ13">
        <v>-0.44092900000000002</v>
      </c>
    </row>
    <row r="14" spans="1:43" ht="15" x14ac:dyDescent="0.35">
      <c r="A14" s="5">
        <f t="shared" si="7"/>
        <v>0.31019999999999998</v>
      </c>
      <c r="B14">
        <f t="shared" si="8"/>
        <v>1.375</v>
      </c>
      <c r="C14">
        <v>-0.52543799999999996</v>
      </c>
      <c r="E14" s="7">
        <v>0.31019999999999998</v>
      </c>
      <c r="F14">
        <f t="shared" si="1"/>
        <v>1.375</v>
      </c>
      <c r="G14">
        <v>-0.52100299999999999</v>
      </c>
      <c r="I14" s="4">
        <v>0.31019999999999998</v>
      </c>
      <c r="J14">
        <f t="shared" si="2"/>
        <v>1.375</v>
      </c>
      <c r="K14">
        <v>-0.51171999999999995</v>
      </c>
      <c r="M14">
        <v>0.31019999999999998</v>
      </c>
      <c r="N14">
        <f t="shared" si="3"/>
        <v>1.375</v>
      </c>
      <c r="O14">
        <v>-0.487454</v>
      </c>
      <c r="Q14" s="4">
        <v>0.33839999999999998</v>
      </c>
      <c r="R14">
        <f t="shared" si="9"/>
        <v>1.5</v>
      </c>
      <c r="S14">
        <v>-0.58791599999999999</v>
      </c>
      <c r="V14" s="4">
        <v>0.47999999999999993</v>
      </c>
      <c r="W14">
        <f t="shared" si="0"/>
        <v>1.4999999999999998</v>
      </c>
      <c r="X14">
        <v>-0.52462200000000003</v>
      </c>
      <c r="Z14" s="4">
        <v>0.48</v>
      </c>
      <c r="AA14">
        <f t="shared" si="4"/>
        <v>1.5</v>
      </c>
      <c r="AB14">
        <v>-0.50362799999999996</v>
      </c>
      <c r="AD14" s="4">
        <v>0.44</v>
      </c>
      <c r="AE14">
        <f t="shared" si="5"/>
        <v>1.375</v>
      </c>
      <c r="AF14">
        <v>-0.44705099999999998</v>
      </c>
      <c r="AH14" s="4">
        <v>0.88</v>
      </c>
      <c r="AI14">
        <f t="shared" si="6"/>
        <v>2.75</v>
      </c>
      <c r="AJ14">
        <v>-0.95360999999999996</v>
      </c>
      <c r="AL14" s="7">
        <v>1.375</v>
      </c>
      <c r="AM14">
        <v>-0.53668199999999999</v>
      </c>
      <c r="AP14">
        <v>1.3749999999999998</v>
      </c>
      <c r="AQ14">
        <v>-0.49023299999999997</v>
      </c>
    </row>
    <row r="15" spans="1:43" ht="15" x14ac:dyDescent="0.35">
      <c r="A15" s="5">
        <f t="shared" si="7"/>
        <v>0.33839999999999998</v>
      </c>
      <c r="B15">
        <f t="shared" si="8"/>
        <v>1.5</v>
      </c>
      <c r="C15">
        <v>-0.58482599999999996</v>
      </c>
      <c r="E15" s="7">
        <v>0.33839999999999998</v>
      </c>
      <c r="F15">
        <f t="shared" si="1"/>
        <v>1.5</v>
      </c>
      <c r="G15">
        <v>-0.58086700000000002</v>
      </c>
      <c r="I15" s="4">
        <v>0.33839999999999998</v>
      </c>
      <c r="J15">
        <f t="shared" si="2"/>
        <v>1.5</v>
      </c>
      <c r="K15">
        <v>-0.57189199999999996</v>
      </c>
      <c r="M15">
        <v>0.33839999999999998</v>
      </c>
      <c r="N15">
        <f t="shared" si="3"/>
        <v>1.5</v>
      </c>
      <c r="O15">
        <v>-0.54687699999999995</v>
      </c>
      <c r="Q15" s="4">
        <v>0.36659999999999998</v>
      </c>
      <c r="R15">
        <f t="shared" si="9"/>
        <v>1.625</v>
      </c>
      <c r="S15">
        <v>-0.64335600000000004</v>
      </c>
      <c r="V15" s="4">
        <v>0.51999999999999991</v>
      </c>
      <c r="W15">
        <f t="shared" si="0"/>
        <v>1.6249999999999998</v>
      </c>
      <c r="X15">
        <v>-0.57330400000000004</v>
      </c>
      <c r="Z15" s="4">
        <v>0.52</v>
      </c>
      <c r="AA15">
        <f t="shared" si="4"/>
        <v>1.625</v>
      </c>
      <c r="AB15">
        <v>-0.55392799999999998</v>
      </c>
      <c r="AD15" s="4">
        <v>0.48</v>
      </c>
      <c r="AE15">
        <f t="shared" si="5"/>
        <v>1.5</v>
      </c>
      <c r="AF15">
        <v>-0.49798300000000001</v>
      </c>
      <c r="AH15" s="4">
        <v>0.96</v>
      </c>
      <c r="AI15">
        <f t="shared" si="6"/>
        <v>3</v>
      </c>
      <c r="AJ15">
        <v>-1.05854</v>
      </c>
      <c r="AL15" s="7">
        <v>1.5</v>
      </c>
      <c r="AM15">
        <v>-0.59540999999999999</v>
      </c>
      <c r="AP15">
        <v>1.4999999999999998</v>
      </c>
      <c r="AQ15">
        <v>-0.53775099999999998</v>
      </c>
    </row>
    <row r="16" spans="1:43" ht="15" x14ac:dyDescent="0.35">
      <c r="A16" s="5">
        <f t="shared" si="7"/>
        <v>0.36659999999999998</v>
      </c>
      <c r="B16">
        <f t="shared" si="8"/>
        <v>1.625</v>
      </c>
      <c r="C16">
        <v>-0.64261000000000001</v>
      </c>
      <c r="E16" s="7">
        <v>0.36659999999999998</v>
      </c>
      <c r="F16">
        <f t="shared" si="1"/>
        <v>1.625</v>
      </c>
      <c r="G16">
        <v>-0.63910199999999995</v>
      </c>
      <c r="I16" s="4">
        <v>0.36659999999999998</v>
      </c>
      <c r="J16">
        <f t="shared" si="2"/>
        <v>1.625</v>
      </c>
      <c r="K16">
        <v>-0.63098100000000001</v>
      </c>
      <c r="M16">
        <v>0.36659999999999998</v>
      </c>
      <c r="N16">
        <f t="shared" si="3"/>
        <v>1.625</v>
      </c>
      <c r="O16">
        <v>-0.60643400000000003</v>
      </c>
      <c r="Q16" s="4">
        <v>0.39479999999999998</v>
      </c>
      <c r="R16">
        <f t="shared" si="9"/>
        <v>1.75</v>
      </c>
      <c r="S16">
        <v>-0.69771399999999995</v>
      </c>
      <c r="V16" s="4">
        <v>0.55999999999999994</v>
      </c>
      <c r="W16">
        <f t="shared" si="0"/>
        <v>1.7499999999999998</v>
      </c>
      <c r="X16">
        <v>-0.62066299999999996</v>
      </c>
      <c r="Z16" s="4">
        <v>0.56000000000000005</v>
      </c>
      <c r="AA16">
        <f t="shared" si="4"/>
        <v>1.7500000000000002</v>
      </c>
      <c r="AB16">
        <v>-0.60255199999999998</v>
      </c>
      <c r="AD16" s="4">
        <v>0.52</v>
      </c>
      <c r="AE16">
        <f t="shared" si="5"/>
        <v>1.625</v>
      </c>
      <c r="AF16">
        <v>-0.54825400000000002</v>
      </c>
      <c r="AH16" s="4">
        <v>1.04</v>
      </c>
      <c r="AI16">
        <f t="shared" si="6"/>
        <v>3.25</v>
      </c>
      <c r="AJ16">
        <v>-1.1773899999999999</v>
      </c>
      <c r="AL16" s="7">
        <v>1.625</v>
      </c>
      <c r="AM16">
        <v>-0.65277799999999997</v>
      </c>
      <c r="AP16">
        <v>1.6249999999999998</v>
      </c>
      <c r="AQ16">
        <v>-0.58381099999999997</v>
      </c>
    </row>
    <row r="17" spans="1:43" ht="15" x14ac:dyDescent="0.35">
      <c r="A17" s="5">
        <f t="shared" si="7"/>
        <v>0.39479999999999998</v>
      </c>
      <c r="B17">
        <f t="shared" si="8"/>
        <v>1.75</v>
      </c>
      <c r="C17">
        <v>-0.69891199999999998</v>
      </c>
      <c r="E17" s="7">
        <v>0.39479999999999998</v>
      </c>
      <c r="F17">
        <f t="shared" si="1"/>
        <v>1.75</v>
      </c>
      <c r="G17">
        <v>-0.69542899999999996</v>
      </c>
      <c r="I17" s="4">
        <v>0.39479999999999998</v>
      </c>
      <c r="J17">
        <f t="shared" si="2"/>
        <v>1.75</v>
      </c>
      <c r="K17">
        <v>-0.68820000000000003</v>
      </c>
      <c r="M17">
        <v>0.39479999999999998</v>
      </c>
      <c r="N17">
        <f t="shared" si="3"/>
        <v>1.75</v>
      </c>
      <c r="O17">
        <v>-0.66503000000000001</v>
      </c>
      <c r="Q17" s="4">
        <v>0.42299999999999999</v>
      </c>
      <c r="R17">
        <f t="shared" si="9"/>
        <v>1.875</v>
      </c>
      <c r="S17">
        <v>-0.75144699999999998</v>
      </c>
      <c r="V17" s="4">
        <v>0.6</v>
      </c>
      <c r="W17">
        <f t="shared" si="0"/>
        <v>1.875</v>
      </c>
      <c r="X17">
        <v>-0.66719499999999998</v>
      </c>
      <c r="Z17" s="4">
        <v>0.6</v>
      </c>
      <c r="AA17">
        <f t="shared" si="4"/>
        <v>1.875</v>
      </c>
      <c r="AB17">
        <v>-0.64970000000000006</v>
      </c>
      <c r="AD17" s="4">
        <v>0.56000000000000005</v>
      </c>
      <c r="AE17">
        <f t="shared" si="5"/>
        <v>1.7500000000000002</v>
      </c>
      <c r="AF17">
        <v>-0.59722299999999995</v>
      </c>
      <c r="AH17" s="4">
        <v>1.08</v>
      </c>
      <c r="AI17">
        <f t="shared" si="6"/>
        <v>3.375</v>
      </c>
      <c r="AJ17">
        <v>-1.24274</v>
      </c>
      <c r="AL17" s="7">
        <v>1.75</v>
      </c>
      <c r="AM17">
        <v>-0.708955</v>
      </c>
      <c r="AP17">
        <v>1.7499999999999998</v>
      </c>
      <c r="AQ17">
        <v>-0.62893399999999999</v>
      </c>
    </row>
    <row r="18" spans="1:43" ht="15" x14ac:dyDescent="0.35">
      <c r="A18" s="5">
        <f t="shared" si="7"/>
        <v>0.42299999999999999</v>
      </c>
      <c r="B18">
        <f t="shared" si="8"/>
        <v>1.875</v>
      </c>
      <c r="C18">
        <v>-0.754193</v>
      </c>
      <c r="E18" s="7">
        <v>0.42299999999999999</v>
      </c>
      <c r="F18">
        <f t="shared" si="1"/>
        <v>1.875</v>
      </c>
      <c r="G18">
        <v>-0.75018600000000002</v>
      </c>
      <c r="I18" s="4">
        <v>0.42299999999999999</v>
      </c>
      <c r="J18">
        <f t="shared" si="2"/>
        <v>1.875</v>
      </c>
      <c r="K18">
        <v>-0.74341900000000005</v>
      </c>
      <c r="M18">
        <v>0.42299999999999999</v>
      </c>
      <c r="N18">
        <f t="shared" si="3"/>
        <v>1.875</v>
      </c>
      <c r="O18">
        <v>-0.72192699999999999</v>
      </c>
      <c r="Q18" s="4">
        <v>0.45119999999999999</v>
      </c>
      <c r="R18">
        <f t="shared" si="9"/>
        <v>2</v>
      </c>
      <c r="S18">
        <v>-0.80510700000000002</v>
      </c>
      <c r="V18" s="4">
        <v>0.68</v>
      </c>
      <c r="W18">
        <f t="shared" si="0"/>
        <v>2.125</v>
      </c>
      <c r="X18">
        <v>-0.75971100000000003</v>
      </c>
      <c r="Z18" s="4">
        <v>0.64</v>
      </c>
      <c r="AA18">
        <f t="shared" si="4"/>
        <v>2</v>
      </c>
      <c r="AB18">
        <v>-0.695878</v>
      </c>
      <c r="AD18" s="4">
        <v>0.6</v>
      </c>
      <c r="AE18">
        <f t="shared" si="5"/>
        <v>1.875</v>
      </c>
      <c r="AF18">
        <v>-0.64469200000000004</v>
      </c>
      <c r="AH18" s="4">
        <v>1.1200000000000001</v>
      </c>
      <c r="AI18">
        <f t="shared" si="6"/>
        <v>3.5000000000000004</v>
      </c>
      <c r="AJ18">
        <v>-1.3115300000000001</v>
      </c>
      <c r="AL18" s="7">
        <v>1.875</v>
      </c>
      <c r="AM18">
        <v>-0.764428</v>
      </c>
      <c r="AP18">
        <v>1.875</v>
      </c>
      <c r="AQ18">
        <v>-0.67358499999999999</v>
      </c>
    </row>
    <row r="19" spans="1:43" ht="15" x14ac:dyDescent="0.35">
      <c r="A19" s="5">
        <f t="shared" si="7"/>
        <v>0.45119999999999999</v>
      </c>
      <c r="B19">
        <f t="shared" si="8"/>
        <v>2</v>
      </c>
      <c r="C19">
        <v>-0.80897300000000005</v>
      </c>
      <c r="E19" s="7">
        <v>0.45119999999999999</v>
      </c>
      <c r="F19">
        <f t="shared" si="1"/>
        <v>2</v>
      </c>
      <c r="G19">
        <v>-0.80410899999999996</v>
      </c>
      <c r="I19" s="4">
        <v>0.45119999999999999</v>
      </c>
      <c r="J19">
        <f t="shared" si="2"/>
        <v>2</v>
      </c>
      <c r="K19">
        <v>-0.79714099999999999</v>
      </c>
      <c r="M19">
        <v>0.45119999999999999</v>
      </c>
      <c r="N19">
        <f t="shared" si="3"/>
        <v>2</v>
      </c>
      <c r="O19">
        <v>-0.776953</v>
      </c>
      <c r="Q19" s="4">
        <v>0.47939999999999999</v>
      </c>
      <c r="R19">
        <f t="shared" si="9"/>
        <v>2.125</v>
      </c>
      <c r="S19">
        <v>-0.85924699999999998</v>
      </c>
      <c r="V19" s="4">
        <v>0.72000000000000008</v>
      </c>
      <c r="W19">
        <f t="shared" si="0"/>
        <v>2.25</v>
      </c>
      <c r="X19">
        <v>-0.80646200000000001</v>
      </c>
      <c r="Z19" s="4">
        <v>0.68</v>
      </c>
      <c r="AA19">
        <f t="shared" si="4"/>
        <v>2.125</v>
      </c>
      <c r="AB19">
        <v>-0.74166500000000002</v>
      </c>
      <c r="AD19" s="4">
        <v>0.64</v>
      </c>
      <c r="AE19">
        <f t="shared" si="5"/>
        <v>2</v>
      </c>
      <c r="AF19">
        <v>-0.69089500000000004</v>
      </c>
      <c r="AH19" s="4"/>
      <c r="AL19" s="7">
        <v>2</v>
      </c>
      <c r="AM19">
        <v>-0.81972999999999996</v>
      </c>
      <c r="AP19">
        <v>2</v>
      </c>
      <c r="AQ19">
        <v>-0.71820300000000004</v>
      </c>
    </row>
    <row r="20" spans="1:43" ht="15" x14ac:dyDescent="0.35">
      <c r="A20" s="5">
        <f t="shared" si="7"/>
        <v>0.47939999999999999</v>
      </c>
      <c r="B20">
        <f t="shared" si="8"/>
        <v>2.125</v>
      </c>
      <c r="C20">
        <v>-0.86392199999999997</v>
      </c>
      <c r="E20" s="7">
        <v>0.47939999999999999</v>
      </c>
      <c r="F20">
        <f t="shared" si="1"/>
        <v>2.125</v>
      </c>
      <c r="G20">
        <v>-0.85797199999999996</v>
      </c>
      <c r="I20" s="4">
        <v>0.47939999999999999</v>
      </c>
      <c r="J20">
        <f t="shared" si="2"/>
        <v>2.125</v>
      </c>
      <c r="K20">
        <v>-0.85025899999999999</v>
      </c>
      <c r="M20">
        <v>0.47939999999999999</v>
      </c>
      <c r="N20">
        <f t="shared" si="3"/>
        <v>2.125</v>
      </c>
      <c r="O20">
        <v>-0.83055699999999999</v>
      </c>
      <c r="Q20" s="4">
        <v>0.50760000000000005</v>
      </c>
      <c r="R20">
        <f t="shared" si="9"/>
        <v>2.2500000000000004</v>
      </c>
      <c r="S20">
        <v>-0.91435599999999995</v>
      </c>
      <c r="V20" s="4">
        <v>0.76000000000000012</v>
      </c>
      <c r="W20">
        <f t="shared" si="0"/>
        <v>2.3750000000000004</v>
      </c>
      <c r="X20">
        <v>-0.85401800000000005</v>
      </c>
      <c r="Z20" s="4">
        <v>0.72</v>
      </c>
      <c r="AA20">
        <f t="shared" si="4"/>
        <v>2.25</v>
      </c>
      <c r="AB20">
        <v>-0.78757900000000003</v>
      </c>
      <c r="AD20" s="4">
        <v>0.68</v>
      </c>
      <c r="AE20">
        <f t="shared" si="5"/>
        <v>2.125</v>
      </c>
      <c r="AF20">
        <v>-0.73634900000000003</v>
      </c>
      <c r="AH20" s="4"/>
      <c r="AL20" s="7">
        <v>2.125</v>
      </c>
      <c r="AM20">
        <v>-0.87527500000000003</v>
      </c>
      <c r="AP20">
        <v>2.125</v>
      </c>
      <c r="AQ20">
        <v>-0.76319199999999998</v>
      </c>
    </row>
    <row r="21" spans="1:43" ht="15" x14ac:dyDescent="0.35">
      <c r="A21" s="5">
        <f t="shared" si="7"/>
        <v>0.50759999999999994</v>
      </c>
      <c r="B21">
        <f t="shared" si="8"/>
        <v>2.25</v>
      </c>
      <c r="C21">
        <v>-0.91958799999999996</v>
      </c>
      <c r="E21" s="7">
        <v>0.50760000000000005</v>
      </c>
      <c r="F21">
        <f t="shared" si="1"/>
        <v>2.2500000000000004</v>
      </c>
      <c r="G21">
        <v>-0.91241099999999997</v>
      </c>
      <c r="I21" s="4">
        <v>0.50760000000000005</v>
      </c>
      <c r="J21">
        <f t="shared" si="2"/>
        <v>2.2500000000000004</v>
      </c>
      <c r="K21">
        <v>-0.90373199999999998</v>
      </c>
      <c r="M21">
        <v>0.50760000000000005</v>
      </c>
      <c r="N21">
        <f t="shared" si="3"/>
        <v>2.2500000000000004</v>
      </c>
      <c r="O21">
        <v>-0.88362099999999999</v>
      </c>
      <c r="Q21" s="4">
        <v>0.53580000000000005</v>
      </c>
      <c r="R21">
        <f t="shared" si="9"/>
        <v>2.3750000000000004</v>
      </c>
      <c r="S21">
        <v>-0.97091499999999997</v>
      </c>
      <c r="V21" s="4">
        <v>0.80000000000000016</v>
      </c>
      <c r="W21">
        <f t="shared" si="0"/>
        <v>2.5000000000000004</v>
      </c>
      <c r="X21">
        <v>-0.90278800000000003</v>
      </c>
      <c r="Z21" s="4">
        <v>0.76</v>
      </c>
      <c r="AA21">
        <f t="shared" si="4"/>
        <v>2.375</v>
      </c>
      <c r="AB21">
        <v>-0.83407200000000004</v>
      </c>
      <c r="AD21" s="4">
        <v>0.72</v>
      </c>
      <c r="AE21">
        <f t="shared" si="5"/>
        <v>2.25</v>
      </c>
      <c r="AF21">
        <v>-0.78164999999999996</v>
      </c>
      <c r="AL21" s="7">
        <v>2.2500000000000004</v>
      </c>
      <c r="AM21">
        <v>-0.93140999999999996</v>
      </c>
      <c r="AP21">
        <v>2.25</v>
      </c>
      <c r="AQ21">
        <v>-0.80894900000000003</v>
      </c>
    </row>
    <row r="22" spans="1:43" ht="15" x14ac:dyDescent="0.35">
      <c r="A22" s="5">
        <f t="shared" si="7"/>
        <v>0.53579999999999994</v>
      </c>
      <c r="B22">
        <f t="shared" si="8"/>
        <v>2.375</v>
      </c>
      <c r="C22">
        <v>-0.97641299999999998</v>
      </c>
      <c r="E22" s="7">
        <v>0.56399999999999995</v>
      </c>
      <c r="F22">
        <f t="shared" si="1"/>
        <v>2.5</v>
      </c>
      <c r="G22">
        <v>-1.02565</v>
      </c>
      <c r="I22" s="4">
        <v>0.53580000000000005</v>
      </c>
      <c r="J22">
        <f t="shared" si="2"/>
        <v>2.3750000000000004</v>
      </c>
      <c r="K22">
        <v>-0.95840199999999998</v>
      </c>
      <c r="M22">
        <v>0.53580000000000005</v>
      </c>
      <c r="N22">
        <f t="shared" si="3"/>
        <v>2.3750000000000004</v>
      </c>
      <c r="O22">
        <v>-0.93711199999999995</v>
      </c>
      <c r="Q22" s="4">
        <v>0.56399999999999995</v>
      </c>
      <c r="R22">
        <f t="shared" si="9"/>
        <v>2.5</v>
      </c>
      <c r="S22">
        <v>-1.0294000000000001</v>
      </c>
      <c r="V22" s="4">
        <v>0.84000000000000019</v>
      </c>
      <c r="W22">
        <f t="shared" si="0"/>
        <v>2.6250000000000004</v>
      </c>
      <c r="X22">
        <v>-0.95330000000000004</v>
      </c>
      <c r="Z22" s="4">
        <v>0.8</v>
      </c>
      <c r="AA22">
        <f t="shared" si="4"/>
        <v>2.5</v>
      </c>
      <c r="AB22">
        <v>-0.88158800000000004</v>
      </c>
      <c r="AD22" s="4">
        <v>0.76</v>
      </c>
      <c r="AE22">
        <f t="shared" si="5"/>
        <v>2.375</v>
      </c>
      <c r="AF22">
        <v>-0.827349</v>
      </c>
      <c r="AL22" s="7">
        <v>2.4193262411347516</v>
      </c>
      <c r="AM22">
        <v>-0.98848800000000003</v>
      </c>
      <c r="AP22">
        <v>2.3750000000000004</v>
      </c>
      <c r="AQ22">
        <v>-0.85591600000000001</v>
      </c>
    </row>
    <row r="23" spans="1:43" ht="15" x14ac:dyDescent="0.35">
      <c r="A23" s="5">
        <f t="shared" si="7"/>
        <v>0.56399999999999995</v>
      </c>
      <c r="B23">
        <f t="shared" si="8"/>
        <v>2.5</v>
      </c>
      <c r="C23">
        <v>-1.03487</v>
      </c>
      <c r="E23" s="7">
        <v>0.59219999999999995</v>
      </c>
      <c r="F23">
        <f t="shared" si="1"/>
        <v>2.625</v>
      </c>
      <c r="G23">
        <v>-1.0858300000000001</v>
      </c>
      <c r="I23" s="4">
        <v>0.56399999999999995</v>
      </c>
      <c r="J23">
        <f t="shared" si="2"/>
        <v>2.5</v>
      </c>
      <c r="K23">
        <v>-1.0149999999999999</v>
      </c>
      <c r="M23">
        <v>0.56399999999999995</v>
      </c>
      <c r="N23">
        <f t="shared" si="3"/>
        <v>2.5</v>
      </c>
      <c r="O23">
        <v>-0.99190800000000001</v>
      </c>
      <c r="Q23" s="4">
        <v>0.59219999999999995</v>
      </c>
      <c r="R23">
        <f t="shared" si="9"/>
        <v>2.625</v>
      </c>
      <c r="S23">
        <v>-1.0904400000000001</v>
      </c>
      <c r="V23" s="4">
        <v>0.88000000000000023</v>
      </c>
      <c r="W23">
        <f t="shared" si="0"/>
        <v>2.7500000000000004</v>
      </c>
      <c r="X23">
        <v>-1.0062599999999999</v>
      </c>
      <c r="Z23" s="4">
        <v>0.84</v>
      </c>
      <c r="AA23">
        <f t="shared" si="4"/>
        <v>2.625</v>
      </c>
      <c r="AB23">
        <v>-0.93062900000000004</v>
      </c>
      <c r="AD23" s="4">
        <v>0.8</v>
      </c>
      <c r="AE23">
        <f t="shared" si="5"/>
        <v>2.5</v>
      </c>
      <c r="AF23">
        <v>-0.87394300000000003</v>
      </c>
      <c r="AL23" s="7">
        <v>2.5</v>
      </c>
      <c r="AM23">
        <v>-1.0469999999999999</v>
      </c>
      <c r="AP23">
        <v>2.5000000000000004</v>
      </c>
      <c r="AQ23">
        <v>-0.90462900000000002</v>
      </c>
    </row>
    <row r="24" spans="1:43" ht="15" x14ac:dyDescent="0.35">
      <c r="A24" s="5">
        <f t="shared" si="7"/>
        <v>0.59219999999999995</v>
      </c>
      <c r="B24">
        <f t="shared" si="8"/>
        <v>2.625</v>
      </c>
      <c r="C24">
        <v>-1.0955699999999999</v>
      </c>
      <c r="E24" s="7">
        <v>0.62039999999999995</v>
      </c>
      <c r="F24">
        <f t="shared" si="1"/>
        <v>2.75</v>
      </c>
      <c r="G24">
        <v>-1.14934</v>
      </c>
      <c r="I24" s="4">
        <v>0.59219999999999995</v>
      </c>
      <c r="J24">
        <f t="shared" si="2"/>
        <v>2.625</v>
      </c>
      <c r="K24">
        <v>-1.0742400000000001</v>
      </c>
      <c r="M24">
        <v>0.59219999999999995</v>
      </c>
      <c r="N24">
        <f t="shared" si="3"/>
        <v>2.625</v>
      </c>
      <c r="O24">
        <v>-1.0488</v>
      </c>
      <c r="Q24" s="4">
        <v>0.62039999999999995</v>
      </c>
      <c r="R24">
        <f t="shared" si="9"/>
        <v>2.75</v>
      </c>
      <c r="S24">
        <v>-1.1547799999999999</v>
      </c>
      <c r="V24" s="4">
        <v>0.92000000000000026</v>
      </c>
      <c r="W24">
        <f t="shared" si="0"/>
        <v>2.8750000000000009</v>
      </c>
      <c r="X24">
        <v>-1.06257</v>
      </c>
      <c r="Z24" s="4">
        <v>0.88</v>
      </c>
      <c r="AA24">
        <f t="shared" si="4"/>
        <v>2.75</v>
      </c>
      <c r="AB24">
        <v>-0.98177800000000004</v>
      </c>
      <c r="AD24" s="4">
        <v>0.84</v>
      </c>
      <c r="AE24">
        <f t="shared" si="5"/>
        <v>2.625</v>
      </c>
      <c r="AF24">
        <v>-0.921933</v>
      </c>
      <c r="AL24" s="7">
        <v>2.625</v>
      </c>
      <c r="AM24">
        <v>-1.1076699999999999</v>
      </c>
      <c r="AP24">
        <v>2.6250000000000004</v>
      </c>
      <c r="AQ24">
        <v>-0.95577100000000004</v>
      </c>
    </row>
    <row r="25" spans="1:43" ht="15" x14ac:dyDescent="0.35">
      <c r="A25" s="5">
        <f t="shared" si="7"/>
        <v>0.62039999999999995</v>
      </c>
      <c r="B25">
        <f t="shared" si="8"/>
        <v>2.75</v>
      </c>
      <c r="C25">
        <v>-1.15923</v>
      </c>
      <c r="E25" s="7">
        <v>0.64859999999999995</v>
      </c>
      <c r="F25">
        <f t="shared" si="1"/>
        <v>2.875</v>
      </c>
      <c r="G25">
        <v>-1.21702</v>
      </c>
      <c r="I25" s="4">
        <v>0.62039999999999995</v>
      </c>
      <c r="J25">
        <f t="shared" si="2"/>
        <v>2.75</v>
      </c>
      <c r="K25">
        <v>-1.1368400000000001</v>
      </c>
      <c r="M25">
        <v>0.62039999999999995</v>
      </c>
      <c r="N25">
        <f t="shared" si="3"/>
        <v>2.75</v>
      </c>
      <c r="O25">
        <v>-1.1085499999999999</v>
      </c>
      <c r="Q25" s="4">
        <v>0.64859999999999995</v>
      </c>
      <c r="R25">
        <f t="shared" si="9"/>
        <v>2.875</v>
      </c>
      <c r="S25">
        <v>-1.2230799999999999</v>
      </c>
      <c r="V25" s="4">
        <v>0.9600000000000003</v>
      </c>
      <c r="W25">
        <f t="shared" si="0"/>
        <v>3.0000000000000009</v>
      </c>
      <c r="X25">
        <v>-1.12337</v>
      </c>
      <c r="Z25" s="4">
        <v>0.92</v>
      </c>
      <c r="AA25">
        <f t="shared" si="4"/>
        <v>2.875</v>
      </c>
      <c r="AB25">
        <v>-1.03579</v>
      </c>
      <c r="AD25" s="4">
        <v>0.88</v>
      </c>
      <c r="AE25">
        <f t="shared" si="5"/>
        <v>2.75</v>
      </c>
      <c r="AF25">
        <v>-0.97187800000000002</v>
      </c>
      <c r="AL25" s="7">
        <v>2.75</v>
      </c>
      <c r="AM25">
        <v>-1.1714</v>
      </c>
      <c r="AP25">
        <v>2.7500000000000004</v>
      </c>
      <c r="AQ25">
        <v>-1.0102</v>
      </c>
    </row>
    <row r="26" spans="1:43" ht="15" x14ac:dyDescent="0.35">
      <c r="A26" s="5">
        <f t="shared" si="7"/>
        <v>0.64859999999999995</v>
      </c>
      <c r="B26">
        <f t="shared" si="8"/>
        <v>2.875</v>
      </c>
      <c r="C26">
        <v>-1.22671</v>
      </c>
      <c r="E26" s="7">
        <v>0.67679999999999996</v>
      </c>
      <c r="F26">
        <f t="shared" si="1"/>
        <v>3</v>
      </c>
      <c r="G26">
        <v>-1.28973</v>
      </c>
      <c r="I26" s="4">
        <v>0.64859999999999995</v>
      </c>
      <c r="J26">
        <f>I26/0.2256</f>
        <v>2.875</v>
      </c>
      <c r="K26">
        <v>-1.2036</v>
      </c>
      <c r="M26">
        <v>0.64859999999999995</v>
      </c>
      <c r="N26">
        <f t="shared" si="3"/>
        <v>2.875</v>
      </c>
      <c r="O26">
        <v>-1.1719200000000001</v>
      </c>
      <c r="Q26" s="4">
        <v>0.67679999999999996</v>
      </c>
      <c r="R26">
        <f t="shared" si="9"/>
        <v>3</v>
      </c>
      <c r="S26">
        <v>-1.29654</v>
      </c>
      <c r="V26" s="4">
        <v>1.0000000000000002</v>
      </c>
      <c r="W26">
        <f t="shared" si="0"/>
        <v>3.1250000000000004</v>
      </c>
      <c r="X26">
        <v>-1.18987</v>
      </c>
      <c r="Z26" s="4">
        <v>0.96</v>
      </c>
      <c r="AA26">
        <f t="shared" si="4"/>
        <v>3</v>
      </c>
      <c r="AB26">
        <v>-1.0935999999999999</v>
      </c>
      <c r="AD26" s="4">
        <v>0.92</v>
      </c>
      <c r="AE26">
        <f t="shared" si="5"/>
        <v>2.875</v>
      </c>
      <c r="AF26">
        <v>-1.0244599999999999</v>
      </c>
      <c r="AL26" s="7">
        <v>2.875</v>
      </c>
      <c r="AM26">
        <v>-1.2392000000000001</v>
      </c>
      <c r="AP26">
        <v>2.8750000000000009</v>
      </c>
      <c r="AQ26">
        <v>-1.06897</v>
      </c>
    </row>
    <row r="27" spans="1:43" ht="15" x14ac:dyDescent="0.35">
      <c r="A27" s="5">
        <f t="shared" si="7"/>
        <v>0.67679999999999996</v>
      </c>
      <c r="B27">
        <f t="shared" si="8"/>
        <v>3</v>
      </c>
      <c r="C27">
        <v>-1.2990600000000001</v>
      </c>
      <c r="E27" s="4">
        <v>0.70499999999999996</v>
      </c>
      <c r="F27">
        <f t="shared" si="1"/>
        <v>3.125</v>
      </c>
      <c r="G27">
        <v>-1.36835</v>
      </c>
      <c r="I27" s="4">
        <v>0.67679999999999996</v>
      </c>
      <c r="J27">
        <f t="shared" si="2"/>
        <v>3</v>
      </c>
      <c r="K27">
        <v>-1.2753000000000001</v>
      </c>
      <c r="M27">
        <v>0.67679999999999996</v>
      </c>
      <c r="N27">
        <f t="shared" si="3"/>
        <v>3</v>
      </c>
      <c r="O27">
        <v>-1.23963</v>
      </c>
      <c r="Q27" s="4">
        <v>0.70499999999999996</v>
      </c>
      <c r="R27">
        <f t="shared" si="9"/>
        <v>3.125</v>
      </c>
      <c r="S27">
        <v>-1.37599</v>
      </c>
      <c r="V27" s="4">
        <v>1.0400000000000003</v>
      </c>
      <c r="W27">
        <f t="shared" si="0"/>
        <v>3.2500000000000009</v>
      </c>
      <c r="X27">
        <v>-1.26315</v>
      </c>
      <c r="Z27" s="4">
        <v>1</v>
      </c>
      <c r="AA27">
        <f t="shared" si="4"/>
        <v>3.125</v>
      </c>
      <c r="AB27">
        <v>-1.1562600000000001</v>
      </c>
      <c r="AD27" s="4">
        <v>0.96</v>
      </c>
      <c r="AE27">
        <f t="shared" si="5"/>
        <v>3</v>
      </c>
      <c r="AF27">
        <v>-1.08047</v>
      </c>
      <c r="AL27" s="7">
        <v>3</v>
      </c>
      <c r="AM27">
        <v>-1.3119700000000001</v>
      </c>
      <c r="AP27">
        <v>3.0000000000000009</v>
      </c>
      <c r="AQ27">
        <v>-1.13327</v>
      </c>
    </row>
    <row r="28" spans="1:43" ht="15" x14ac:dyDescent="0.35">
      <c r="A28" s="5">
        <f t="shared" si="7"/>
        <v>0.70499999999999996</v>
      </c>
      <c r="B28">
        <f t="shared" si="8"/>
        <v>3.125</v>
      </c>
      <c r="C28">
        <v>-1.3773200000000001</v>
      </c>
      <c r="E28" s="4">
        <v>0.73319999999999996</v>
      </c>
      <c r="F28">
        <f t="shared" si="1"/>
        <v>3.25</v>
      </c>
      <c r="G28">
        <v>-1.4535499999999999</v>
      </c>
      <c r="I28" s="4">
        <v>0.70499999999999996</v>
      </c>
      <c r="J28">
        <f t="shared" si="2"/>
        <v>3.125</v>
      </c>
      <c r="K28">
        <v>-1.3526400000000001</v>
      </c>
      <c r="M28">
        <v>0.70499999999999996</v>
      </c>
      <c r="N28">
        <f t="shared" si="3"/>
        <v>3.125</v>
      </c>
      <c r="O28">
        <v>-1.3122499999999999</v>
      </c>
      <c r="Q28" s="4">
        <v>0.73319999999999996</v>
      </c>
      <c r="R28">
        <f t="shared" si="9"/>
        <v>3.25</v>
      </c>
      <c r="S28">
        <v>-1.46333</v>
      </c>
      <c r="V28" s="4">
        <v>1.0800000000000003</v>
      </c>
      <c r="W28">
        <f t="shared" si="0"/>
        <v>3.3750000000000009</v>
      </c>
      <c r="X28">
        <v>-1.3438000000000001</v>
      </c>
      <c r="Z28" s="4">
        <v>1.04</v>
      </c>
      <c r="AA28">
        <f t="shared" si="4"/>
        <v>3.25</v>
      </c>
      <c r="AB28">
        <v>-1.22475</v>
      </c>
      <c r="AD28" s="4">
        <v>1</v>
      </c>
      <c r="AE28">
        <f t="shared" si="5"/>
        <v>3.125</v>
      </c>
      <c r="AF28">
        <v>-1.1407400000000001</v>
      </c>
      <c r="AL28" s="4">
        <v>3.125</v>
      </c>
      <c r="AM28">
        <v>-1.3905700000000001</v>
      </c>
      <c r="AP28">
        <v>3.1250000000000004</v>
      </c>
      <c r="AQ28">
        <v>-1.2043699999999999</v>
      </c>
    </row>
    <row r="29" spans="1:43" ht="15" x14ac:dyDescent="0.35">
      <c r="A29" s="5">
        <f t="shared" si="7"/>
        <v>0.73319999999999996</v>
      </c>
      <c r="B29">
        <f t="shared" si="8"/>
        <v>3.25</v>
      </c>
      <c r="C29">
        <v>-1.46228</v>
      </c>
      <c r="E29" s="6">
        <f>E28+0.0282</f>
        <v>0.76139999999999997</v>
      </c>
      <c r="F29">
        <f t="shared" si="1"/>
        <v>3.375</v>
      </c>
      <c r="G29">
        <v>-1.54565</v>
      </c>
      <c r="I29" s="4">
        <v>0.73319999999999996</v>
      </c>
      <c r="J29">
        <f t="shared" si="2"/>
        <v>3.25</v>
      </c>
      <c r="K29">
        <v>-1.4360599999999999</v>
      </c>
      <c r="M29">
        <v>0.73319999999999996</v>
      </c>
      <c r="N29">
        <f t="shared" si="3"/>
        <v>3.25</v>
      </c>
      <c r="O29">
        <v>-1.39012</v>
      </c>
      <c r="Q29" s="4">
        <v>0.76139999999999997</v>
      </c>
      <c r="R29">
        <f t="shared" si="9"/>
        <v>3.375</v>
      </c>
      <c r="S29">
        <v>-1.55785</v>
      </c>
      <c r="V29" s="4">
        <v>1.1200000000000003</v>
      </c>
      <c r="W29">
        <f t="shared" si="0"/>
        <v>3.5000000000000009</v>
      </c>
      <c r="X29">
        <v>-1.43157</v>
      </c>
      <c r="Z29" s="4">
        <v>1.08</v>
      </c>
      <c r="AA29">
        <f t="shared" si="4"/>
        <v>3.375</v>
      </c>
      <c r="AB29">
        <v>-1.2997300000000001</v>
      </c>
      <c r="AD29" s="4">
        <v>1.04</v>
      </c>
      <c r="AE29">
        <f t="shared" si="5"/>
        <v>3.25</v>
      </c>
      <c r="AF29">
        <v>-1.206</v>
      </c>
      <c r="AL29" s="4">
        <v>3.25</v>
      </c>
      <c r="AM29">
        <v>-1.4756</v>
      </c>
      <c r="AP29">
        <v>3.2500000000000009</v>
      </c>
      <c r="AQ29">
        <v>-1.28328</v>
      </c>
    </row>
    <row r="30" spans="1:43" ht="15" x14ac:dyDescent="0.35">
      <c r="A30" s="5">
        <f t="shared" si="7"/>
        <v>0.76139999999999997</v>
      </c>
      <c r="B30">
        <f t="shared" si="8"/>
        <v>3.375</v>
      </c>
      <c r="C30">
        <v>-1.5545599999999999</v>
      </c>
      <c r="E30" s="6">
        <f>E29+0.0282</f>
        <v>0.78959999999999997</v>
      </c>
      <c r="F30">
        <f t="shared" si="1"/>
        <v>3.5</v>
      </c>
      <c r="G30">
        <v>-1.64439</v>
      </c>
      <c r="I30">
        <f>I29+0.0282</f>
        <v>0.76139999999999997</v>
      </c>
      <c r="J30">
        <f t="shared" si="2"/>
        <v>3.375</v>
      </c>
      <c r="K30">
        <v>-1.52565</v>
      </c>
      <c r="M30">
        <f>M29+0.0282</f>
        <v>0.76139999999999997</v>
      </c>
      <c r="N30">
        <f t="shared" ref="N30:N31" si="10">M30/0.2256</f>
        <v>3.375</v>
      </c>
      <c r="O30">
        <v>-1.47329</v>
      </c>
      <c r="Q30" s="4">
        <v>0.78959999999999997</v>
      </c>
      <c r="R30">
        <f t="shared" si="9"/>
        <v>3.5</v>
      </c>
      <c r="S30">
        <v>-1.6628099999999999</v>
      </c>
      <c r="V30" s="4"/>
      <c r="Z30" s="4">
        <v>1.1200000000000001</v>
      </c>
      <c r="AA30">
        <f t="shared" si="4"/>
        <v>3.5000000000000004</v>
      </c>
      <c r="AB30">
        <v>-1.3812500000000001</v>
      </c>
      <c r="AD30" s="4">
        <v>1.08</v>
      </c>
      <c r="AE30">
        <f t="shared" si="5"/>
        <v>3.375</v>
      </c>
      <c r="AF30">
        <v>-1.27667</v>
      </c>
      <c r="AL30" s="6">
        <v>3.375</v>
      </c>
      <c r="AM30">
        <v>-1.5638000000000001</v>
      </c>
      <c r="AP30">
        <v>3.3750000000000009</v>
      </c>
      <c r="AQ30">
        <v>-1.3704000000000001</v>
      </c>
    </row>
    <row r="31" spans="1:43" ht="15" x14ac:dyDescent="0.35">
      <c r="A31" s="5">
        <f t="shared" si="7"/>
        <v>0.78959999999999997</v>
      </c>
      <c r="B31">
        <f t="shared" si="8"/>
        <v>3.5</v>
      </c>
      <c r="C31">
        <v>-1.6540999999999999</v>
      </c>
      <c r="I31">
        <f>I30+0.0282</f>
        <v>0.78959999999999997</v>
      </c>
      <c r="J31">
        <f t="shared" ref="J31" si="11">I31/0.2256</f>
        <v>3.5</v>
      </c>
      <c r="K31">
        <v>-1.62103</v>
      </c>
      <c r="M31">
        <f>M30+0.0282</f>
        <v>0.78959999999999997</v>
      </c>
      <c r="N31">
        <f t="shared" si="10"/>
        <v>3.5</v>
      </c>
      <c r="O31">
        <v>-1.5613999999999999</v>
      </c>
      <c r="V31" s="4"/>
      <c r="Z31" s="4"/>
      <c r="AD31" s="4">
        <v>1.1200000000000001</v>
      </c>
      <c r="AE31">
        <f t="shared" si="5"/>
        <v>3.5000000000000004</v>
      </c>
      <c r="AF31">
        <v>-1.3526899999999999</v>
      </c>
      <c r="AL31" s="6">
        <v>3.5</v>
      </c>
      <c r="AM31">
        <v>-1.6662999999999999</v>
      </c>
      <c r="AP31">
        <v>3.5000000000000009</v>
      </c>
      <c r="AQ31">
        <v>-1.4651099999999999</v>
      </c>
    </row>
    <row r="32" spans="1:43" x14ac:dyDescent="0.3">
      <c r="B32" s="1" t="s">
        <v>4</v>
      </c>
      <c r="E32" s="1" t="s">
        <v>4</v>
      </c>
      <c r="I32" s="1" t="s">
        <v>4</v>
      </c>
      <c r="M32" s="1" t="s">
        <v>4</v>
      </c>
      <c r="Q32" s="1" t="s">
        <v>4</v>
      </c>
      <c r="V32" s="1" t="s">
        <v>4</v>
      </c>
      <c r="Z32" s="1" t="s">
        <v>4</v>
      </c>
      <c r="AD32" s="1" t="s">
        <v>4</v>
      </c>
      <c r="AH32" s="1" t="s">
        <v>4</v>
      </c>
      <c r="AM32" s="1" t="s">
        <v>4</v>
      </c>
      <c r="AP32" s="1" t="s">
        <v>4</v>
      </c>
    </row>
    <row r="33" spans="1:43" ht="15" x14ac:dyDescent="0.35">
      <c r="B33" s="4" t="str">
        <f>"A"&amp;_xlfn.UNICHAR(8348)&amp;" = 0.4, n = 1.2, K"&amp;_xlfn.UNICHAR(8321)</f>
        <v>Aₜ = 0.4, n = 1.2, K₁</v>
      </c>
      <c r="F33" s="4" t="str">
        <f>"A"&amp;_xlfn.UNICHAR(8348)&amp;" = 0.4, n = 1.3, K"&amp;_xlfn.UNICHAR(8321)</f>
        <v>Aₜ = 0.4, n = 1.3, K₁</v>
      </c>
      <c r="I33" s="4" t="str">
        <f>"A"&amp;_xlfn.UNICHAR(8348)&amp;" = 0.4, n = 1.4, K"&amp;_xlfn.UNICHAR(8321)</f>
        <v>Aₜ = 0.4, n = 1.4, K₁</v>
      </c>
      <c r="M33" s="4" t="str">
        <f>"A"&amp;_xlfn.UNICHAR(8348)&amp;" = 0.4, n = 1.5, K"&amp;_xlfn.UNICHAR(8321)</f>
        <v>Aₜ = 0.4, n = 1.5, K₁</v>
      </c>
      <c r="O33" s="4"/>
      <c r="Q33" s="4" t="str">
        <f>"A"&amp;_xlfn.UNICHAR(8348)&amp;" = 0.4, n = 1, K"&amp;_xlfn.UNICHAR(8321)</f>
        <v>Aₜ = 0.4, n = 1, K₁</v>
      </c>
      <c r="V33" s="4" t="str">
        <f>"A"&amp;_xlfn.UNICHAR(8348)&amp;" = 0.2, n = 1.2, K"&amp;_xlfn.UNICHAR(8321)</f>
        <v>Aₜ = 0.2, n = 1.2, K₁</v>
      </c>
      <c r="Z33" s="4" t="str">
        <f>"A"&amp;_xlfn.UNICHAR(8348)&amp;" = 0.2, n = 1.3, K"&amp;_xlfn.UNICHAR(8321)</f>
        <v>Aₜ = 0.2, n = 1.3, K₁</v>
      </c>
      <c r="AB33" s="4"/>
      <c r="AD33" s="4" t="str">
        <f>"A"&amp;_xlfn.UNICHAR(8348)&amp;" = 0.2, n = 1.4, K"&amp;_xlfn.UNICHAR(8321)</f>
        <v>Aₜ = 0.2, n = 1.4, K₁</v>
      </c>
      <c r="AF33" s="4"/>
      <c r="AH33" s="4" t="str">
        <f>"A"&amp;_xlfn.UNICHAR(8348)&amp;" = 0.2, n = 1.5, K"&amp;_xlfn.UNICHAR(8321)</f>
        <v>Aₜ = 0.2, n = 1.5, K₁</v>
      </c>
      <c r="AM33" s="4" t="str">
        <f>"A"&amp;_xlfn.UNICHAR(8348)&amp;" = 0.4, n = 1.2, K"&amp;_xlfn.UNICHAR(8322)</f>
        <v>Aₜ = 0.4, n = 1.2, K₂</v>
      </c>
      <c r="AP33" s="4" t="str">
        <f>"A"&amp;_xlfn.UNICHAR(8348)&amp;" = 0.2, n = 1.2, K"&amp;_xlfn.UNICHAR(8322)</f>
        <v>Aₜ = 0.2, n = 1.2, K₂</v>
      </c>
    </row>
    <row r="34" spans="1:43" x14ac:dyDescent="0.3">
      <c r="A34" s="6" t="s">
        <v>0</v>
      </c>
      <c r="B34" s="6" t="s">
        <v>1</v>
      </c>
      <c r="C34" s="6" t="s">
        <v>2</v>
      </c>
      <c r="D34" s="6"/>
      <c r="E34" s="6" t="s">
        <v>0</v>
      </c>
      <c r="F34" t="s">
        <v>3</v>
      </c>
      <c r="G34" t="s">
        <v>2</v>
      </c>
      <c r="I34" t="s">
        <v>0</v>
      </c>
      <c r="J34" t="s">
        <v>3</v>
      </c>
      <c r="K34" t="s">
        <v>2</v>
      </c>
      <c r="M34" t="s">
        <v>0</v>
      </c>
      <c r="N34" t="s">
        <v>3</v>
      </c>
      <c r="O34" t="s">
        <v>2</v>
      </c>
      <c r="Q34" t="s">
        <v>0</v>
      </c>
      <c r="R34" t="s">
        <v>3</v>
      </c>
      <c r="S34" t="s">
        <v>2</v>
      </c>
      <c r="V34" t="s">
        <v>0</v>
      </c>
      <c r="W34" t="s">
        <v>3</v>
      </c>
      <c r="X34" t="s">
        <v>2</v>
      </c>
      <c r="Z34" t="s">
        <v>0</v>
      </c>
      <c r="AA34" t="s">
        <v>3</v>
      </c>
      <c r="AB34" t="s">
        <v>2</v>
      </c>
      <c r="AD34" t="s">
        <v>0</v>
      </c>
      <c r="AE34" t="s">
        <v>3</v>
      </c>
      <c r="AF34" t="s">
        <v>2</v>
      </c>
      <c r="AH34" t="s">
        <v>0</v>
      </c>
      <c r="AI34" t="s">
        <v>3</v>
      </c>
      <c r="AJ34" t="s">
        <v>2</v>
      </c>
      <c r="AM34" t="s">
        <v>3</v>
      </c>
      <c r="AN34" t="s">
        <v>2</v>
      </c>
      <c r="AP34" t="s">
        <v>3</v>
      </c>
      <c r="AQ34" t="s">
        <v>2</v>
      </c>
    </row>
    <row r="35" spans="1:43" ht="15" x14ac:dyDescent="0.35">
      <c r="A35" s="5">
        <v>0</v>
      </c>
      <c r="B35" s="6">
        <v>0</v>
      </c>
      <c r="C35" s="6">
        <v>0.1</v>
      </c>
      <c r="D35" s="6"/>
      <c r="E35" s="6">
        <v>0</v>
      </c>
      <c r="F35">
        <v>0</v>
      </c>
      <c r="G35">
        <v>0.1</v>
      </c>
      <c r="I35">
        <v>0</v>
      </c>
      <c r="J35">
        <v>0</v>
      </c>
      <c r="K35">
        <v>0.1</v>
      </c>
      <c r="M35">
        <v>0</v>
      </c>
      <c r="N35">
        <v>0</v>
      </c>
      <c r="O35">
        <v>0.1</v>
      </c>
      <c r="Q35">
        <v>0</v>
      </c>
      <c r="R35">
        <v>0</v>
      </c>
      <c r="S35">
        <v>0.1</v>
      </c>
      <c r="V35">
        <v>0</v>
      </c>
      <c r="W35">
        <v>0</v>
      </c>
      <c r="X35">
        <v>0.1</v>
      </c>
      <c r="Z35">
        <v>0</v>
      </c>
      <c r="AA35">
        <v>0</v>
      </c>
      <c r="AB35">
        <v>0.1</v>
      </c>
      <c r="AD35" s="4">
        <v>0</v>
      </c>
      <c r="AE35">
        <v>0</v>
      </c>
      <c r="AF35">
        <v>0.1</v>
      </c>
      <c r="AH35">
        <v>0</v>
      </c>
      <c r="AI35">
        <v>0</v>
      </c>
      <c r="AJ35">
        <v>0.1</v>
      </c>
      <c r="AM35" s="6">
        <v>0</v>
      </c>
      <c r="AN35">
        <v>0.1</v>
      </c>
      <c r="AP35">
        <v>0</v>
      </c>
      <c r="AQ35">
        <v>0.1</v>
      </c>
    </row>
    <row r="36" spans="1:43" ht="15" x14ac:dyDescent="0.35">
      <c r="A36" s="5">
        <v>2.8199999999999999E-2</v>
      </c>
      <c r="B36" s="6">
        <f>A36/0.2256</f>
        <v>0.125</v>
      </c>
      <c r="C36" s="6">
        <v>0.103072</v>
      </c>
      <c r="D36" s="6"/>
      <c r="E36" s="7">
        <v>2.8199999999999999E-2</v>
      </c>
      <c r="F36">
        <f>E36/0.2256</f>
        <v>0.125</v>
      </c>
      <c r="G36">
        <v>0.103155</v>
      </c>
      <c r="I36" s="4">
        <v>2.8199999999999999E-2</v>
      </c>
      <c r="J36">
        <f>I36/0.2256</f>
        <v>0.125</v>
      </c>
      <c r="K36">
        <v>0.103191</v>
      </c>
      <c r="M36">
        <v>2.8199999999999999E-2</v>
      </c>
      <c r="N36">
        <f>M36/0.2256</f>
        <v>0.125</v>
      </c>
      <c r="O36">
        <v>0.103215</v>
      </c>
      <c r="Q36" s="4">
        <v>5.6399999999999999E-2</v>
      </c>
      <c r="R36">
        <f>Q36/0.2256</f>
        <v>0.25</v>
      </c>
      <c r="S36">
        <v>0.114291</v>
      </c>
      <c r="V36" s="4">
        <v>0.08</v>
      </c>
      <c r="W36">
        <f t="shared" ref="W36:W61" si="12">V36/0.32</f>
        <v>0.25</v>
      </c>
      <c r="X36">
        <v>0.111896</v>
      </c>
      <c r="Z36" s="4">
        <v>0.04</v>
      </c>
      <c r="AA36">
        <f>Z36/0.32</f>
        <v>0.125</v>
      </c>
      <c r="AB36">
        <v>0.102327</v>
      </c>
      <c r="AD36" s="4">
        <v>0.04</v>
      </c>
      <c r="AE36">
        <f>AD36/0.32</f>
        <v>0.125</v>
      </c>
      <c r="AF36">
        <v>0.10284500000000001</v>
      </c>
      <c r="AH36" s="4">
        <v>0.08</v>
      </c>
      <c r="AI36">
        <f>AH36/0.32</f>
        <v>0.25</v>
      </c>
      <c r="AJ36">
        <v>0.109849</v>
      </c>
      <c r="AM36" s="7">
        <v>0.125</v>
      </c>
      <c r="AN36">
        <v>0.103424</v>
      </c>
      <c r="AP36">
        <v>0.125</v>
      </c>
      <c r="AQ36">
        <v>0.10326</v>
      </c>
    </row>
    <row r="37" spans="1:43" ht="15" x14ac:dyDescent="0.35">
      <c r="A37" s="5">
        <f>A36+0.0282</f>
        <v>5.6399999999999999E-2</v>
      </c>
      <c r="B37" s="6">
        <v>0.25</v>
      </c>
      <c r="C37" s="6">
        <v>0.11300200000000001</v>
      </c>
      <c r="D37" s="6"/>
      <c r="E37" s="7">
        <v>5.6399999999999999E-2</v>
      </c>
      <c r="F37">
        <f t="shared" ref="F37:F62" si="13">E37/0.2256</f>
        <v>0.25</v>
      </c>
      <c r="G37">
        <v>0.11311599999999999</v>
      </c>
      <c r="I37" s="4">
        <v>5.6399999999999999E-2</v>
      </c>
      <c r="J37">
        <f t="shared" ref="J37:J63" si="14">I37/0.2256</f>
        <v>0.25</v>
      </c>
      <c r="K37">
        <v>0.113054</v>
      </c>
      <c r="M37">
        <v>5.6399999999999999E-2</v>
      </c>
      <c r="N37">
        <f t="shared" ref="N37:N63" si="15">M37/0.2256</f>
        <v>0.25</v>
      </c>
      <c r="O37">
        <v>0.11294700000000001</v>
      </c>
      <c r="Q37">
        <f>R37*0.2256</f>
        <v>8.4599999999999995E-2</v>
      </c>
      <c r="R37">
        <v>0.375</v>
      </c>
      <c r="S37">
        <v>0.133269</v>
      </c>
      <c r="V37" s="4">
        <v>0.12</v>
      </c>
      <c r="W37">
        <f t="shared" si="12"/>
        <v>0.375</v>
      </c>
      <c r="X37">
        <v>0.12856500000000001</v>
      </c>
      <c r="Z37" s="4">
        <v>0.08</v>
      </c>
      <c r="AA37">
        <f t="shared" ref="AA37:AA62" si="16">Z37/0.32</f>
        <v>0.25</v>
      </c>
      <c r="AB37">
        <v>0.11</v>
      </c>
      <c r="AD37" s="4">
        <v>0.08</v>
      </c>
      <c r="AE37">
        <f t="shared" ref="AE37:AE63" si="17">AD37/0.32</f>
        <v>0.25</v>
      </c>
      <c r="AF37">
        <v>0.111628</v>
      </c>
      <c r="AH37" s="4">
        <v>0.16</v>
      </c>
      <c r="AI37">
        <f t="shared" ref="AI37:AI52" si="18">AH37/0.32</f>
        <v>0.5</v>
      </c>
      <c r="AJ37">
        <v>0.14163700000000001</v>
      </c>
      <c r="AM37" s="7">
        <v>0.25</v>
      </c>
      <c r="AN37">
        <v>0.11445</v>
      </c>
      <c r="AP37">
        <v>0.25</v>
      </c>
      <c r="AQ37">
        <v>0.114694</v>
      </c>
    </row>
    <row r="38" spans="1:43" ht="15" x14ac:dyDescent="0.35">
      <c r="A38" s="5">
        <f t="shared" ref="A38:A63" si="19">A37+0.0282</f>
        <v>8.4599999999999995E-2</v>
      </c>
      <c r="B38" s="6">
        <f t="shared" ref="B38:B63" si="20">A38/0.2256</f>
        <v>0.375</v>
      </c>
      <c r="C38" s="6">
        <v>0.13053999999999999</v>
      </c>
      <c r="D38" s="6"/>
      <c r="E38" s="7">
        <v>8.4599999999999995E-2</v>
      </c>
      <c r="F38">
        <f t="shared" si="13"/>
        <v>0.375</v>
      </c>
      <c r="G38">
        <v>0.13048000000000001</v>
      </c>
      <c r="I38" s="4">
        <v>8.4599999999999995E-2</v>
      </c>
      <c r="J38">
        <f t="shared" si="14"/>
        <v>0.375</v>
      </c>
      <c r="K38">
        <v>0.13008400000000001</v>
      </c>
      <c r="M38">
        <v>8.4599999999999995E-2</v>
      </c>
      <c r="N38">
        <f t="shared" si="15"/>
        <v>0.375</v>
      </c>
      <c r="O38">
        <v>0.12943499999999999</v>
      </c>
      <c r="Q38">
        <f>R38*0.2256</f>
        <v>0.1128</v>
      </c>
      <c r="R38">
        <v>0.5</v>
      </c>
      <c r="S38">
        <v>0.15920999999999999</v>
      </c>
      <c r="V38" s="4">
        <v>0.16</v>
      </c>
      <c r="W38">
        <f t="shared" si="12"/>
        <v>0.5</v>
      </c>
      <c r="X38">
        <v>0.15248800000000001</v>
      </c>
      <c r="Z38" s="4">
        <v>0.12</v>
      </c>
      <c r="AA38">
        <f t="shared" si="16"/>
        <v>0.375</v>
      </c>
      <c r="AB38">
        <v>0.1237</v>
      </c>
      <c r="AD38" s="4">
        <v>0.12</v>
      </c>
      <c r="AE38">
        <f t="shared" si="17"/>
        <v>0.375</v>
      </c>
      <c r="AF38">
        <v>0.12804099999999999</v>
      </c>
      <c r="AH38" s="4">
        <v>0.24</v>
      </c>
      <c r="AI38">
        <f t="shared" si="18"/>
        <v>0.75</v>
      </c>
      <c r="AJ38">
        <v>0.19613700000000001</v>
      </c>
      <c r="AM38" s="7">
        <v>0.375</v>
      </c>
      <c r="AN38">
        <v>0.13336300000000001</v>
      </c>
      <c r="AP38">
        <v>0.375</v>
      </c>
      <c r="AQ38">
        <v>0.134211</v>
      </c>
    </row>
    <row r="39" spans="1:43" ht="15" x14ac:dyDescent="0.35">
      <c r="A39" s="5">
        <f t="shared" si="19"/>
        <v>0.1128</v>
      </c>
      <c r="B39" s="6">
        <f t="shared" si="20"/>
        <v>0.5</v>
      </c>
      <c r="C39" s="6">
        <v>0.15511800000000001</v>
      </c>
      <c r="D39" s="6"/>
      <c r="E39" s="7">
        <v>0.1128</v>
      </c>
      <c r="F39">
        <f t="shared" si="13"/>
        <v>0.5</v>
      </c>
      <c r="G39">
        <v>0.15474099999999999</v>
      </c>
      <c r="I39" s="4">
        <v>0.1128</v>
      </c>
      <c r="J39">
        <f t="shared" si="14"/>
        <v>0.5</v>
      </c>
      <c r="K39">
        <v>0.153832</v>
      </c>
      <c r="M39">
        <v>0.1128</v>
      </c>
      <c r="N39">
        <f t="shared" si="15"/>
        <v>0.5</v>
      </c>
      <c r="O39">
        <v>0.151778</v>
      </c>
      <c r="Q39" s="4">
        <v>0.14099999999999999</v>
      </c>
      <c r="R39">
        <f t="shared" ref="R39:R62" si="21">Q39/0.2256</f>
        <v>0.625</v>
      </c>
      <c r="S39">
        <v>0.190581</v>
      </c>
      <c r="V39" s="4">
        <v>0.2</v>
      </c>
      <c r="W39">
        <f t="shared" si="12"/>
        <v>0.625</v>
      </c>
      <c r="X39">
        <v>0.18285100000000001</v>
      </c>
      <c r="Z39" s="4">
        <v>0.16</v>
      </c>
      <c r="AA39">
        <f t="shared" si="16"/>
        <v>0.5</v>
      </c>
      <c r="AB39">
        <v>0.14415700000000001</v>
      </c>
      <c r="AD39" s="4">
        <v>0.16</v>
      </c>
      <c r="AE39">
        <f t="shared" si="17"/>
        <v>0.5</v>
      </c>
      <c r="AF39">
        <v>0.14907899999999999</v>
      </c>
      <c r="AH39" s="4">
        <v>0.32</v>
      </c>
      <c r="AI39">
        <f t="shared" si="18"/>
        <v>1</v>
      </c>
      <c r="AJ39">
        <v>0.26769199999999999</v>
      </c>
      <c r="AM39" s="7">
        <v>0.5</v>
      </c>
      <c r="AN39">
        <v>0.159302</v>
      </c>
      <c r="AP39">
        <v>0.5</v>
      </c>
      <c r="AQ39">
        <v>0.161054</v>
      </c>
    </row>
    <row r="40" spans="1:43" ht="15" x14ac:dyDescent="0.35">
      <c r="A40" s="5">
        <f t="shared" si="19"/>
        <v>0.14099999999999999</v>
      </c>
      <c r="B40" s="6">
        <f t="shared" si="20"/>
        <v>0.625</v>
      </c>
      <c r="C40" s="6">
        <v>0.185476</v>
      </c>
      <c r="D40" s="6"/>
      <c r="E40" s="7">
        <v>0.14099999999999999</v>
      </c>
      <c r="F40">
        <f t="shared" si="13"/>
        <v>0.625</v>
      </c>
      <c r="G40">
        <v>0.184728</v>
      </c>
      <c r="I40" s="4">
        <v>0.14099999999999999</v>
      </c>
      <c r="J40">
        <f t="shared" si="14"/>
        <v>0.625</v>
      </c>
      <c r="K40">
        <v>0.18312700000000001</v>
      </c>
      <c r="M40">
        <v>0.14099999999999999</v>
      </c>
      <c r="N40">
        <f t="shared" si="15"/>
        <v>0.625</v>
      </c>
      <c r="O40">
        <v>0.17926600000000001</v>
      </c>
      <c r="Q40" s="4">
        <v>0.16919999999999999</v>
      </c>
      <c r="R40">
        <f t="shared" si="21"/>
        <v>0.75</v>
      </c>
      <c r="S40">
        <v>0.22555700000000001</v>
      </c>
      <c r="V40" s="4">
        <v>0.24000000000000002</v>
      </c>
      <c r="W40">
        <f t="shared" si="12"/>
        <v>0.75</v>
      </c>
      <c r="X40">
        <v>0.21821199999999999</v>
      </c>
      <c r="Z40" s="4">
        <v>0.24</v>
      </c>
      <c r="AA40">
        <f t="shared" si="16"/>
        <v>0.75</v>
      </c>
      <c r="AB40">
        <v>0.20341200000000001</v>
      </c>
      <c r="AD40" s="4">
        <v>0.2</v>
      </c>
      <c r="AE40">
        <f t="shared" si="17"/>
        <v>0.625</v>
      </c>
      <c r="AF40">
        <v>0.17630599999999999</v>
      </c>
      <c r="AH40" s="4">
        <v>0.4</v>
      </c>
      <c r="AI40">
        <f t="shared" si="18"/>
        <v>1.25</v>
      </c>
      <c r="AJ40">
        <v>0.34749099999999999</v>
      </c>
      <c r="AM40" s="7">
        <v>0.625</v>
      </c>
      <c r="AN40">
        <v>0.19079599999999999</v>
      </c>
      <c r="AP40">
        <v>0.625</v>
      </c>
      <c r="AQ40">
        <v>0.20369999999999999</v>
      </c>
    </row>
    <row r="41" spans="1:43" ht="15" x14ac:dyDescent="0.35">
      <c r="A41" s="5">
        <f t="shared" si="19"/>
        <v>0.16919999999999999</v>
      </c>
      <c r="B41" s="6">
        <f t="shared" si="20"/>
        <v>0.75</v>
      </c>
      <c r="C41" s="6">
        <v>0.21995200000000001</v>
      </c>
      <c r="D41" s="6"/>
      <c r="E41" s="7">
        <v>0.16919999999999999</v>
      </c>
      <c r="F41">
        <f t="shared" si="13"/>
        <v>0.75</v>
      </c>
      <c r="G41">
        <v>0.21872</v>
      </c>
      <c r="I41" s="4">
        <v>0.16919999999999999</v>
      </c>
      <c r="J41">
        <f t="shared" si="14"/>
        <v>0.75</v>
      </c>
      <c r="K41">
        <v>0.21642</v>
      </c>
      <c r="M41">
        <v>0.16919999999999999</v>
      </c>
      <c r="N41">
        <f t="shared" si="15"/>
        <v>0.75</v>
      </c>
      <c r="O41">
        <v>0.210615</v>
      </c>
      <c r="Q41" s="4">
        <v>0.19739999999999999</v>
      </c>
      <c r="R41">
        <f t="shared" si="21"/>
        <v>0.875</v>
      </c>
      <c r="S41">
        <v>0.26239400000000002</v>
      </c>
      <c r="V41" s="4">
        <v>0.28000000000000003</v>
      </c>
      <c r="W41">
        <f t="shared" si="12"/>
        <v>0.87500000000000011</v>
      </c>
      <c r="X41">
        <v>0.256934</v>
      </c>
      <c r="Z41" s="4">
        <v>0.28000000000000003</v>
      </c>
      <c r="AA41">
        <f t="shared" si="16"/>
        <v>0.87500000000000011</v>
      </c>
      <c r="AB41">
        <v>0.24013899999999999</v>
      </c>
      <c r="AD41" s="4">
        <v>0.24</v>
      </c>
      <c r="AE41">
        <f t="shared" si="17"/>
        <v>0.75</v>
      </c>
      <c r="AF41">
        <v>0.20807300000000001</v>
      </c>
      <c r="AH41" s="4">
        <v>0.48</v>
      </c>
      <c r="AI41">
        <f t="shared" si="18"/>
        <v>1.5</v>
      </c>
      <c r="AJ41">
        <v>0.42817899999999998</v>
      </c>
      <c r="AM41" s="7">
        <v>0.75</v>
      </c>
      <c r="AN41">
        <v>0.226054</v>
      </c>
      <c r="AP41">
        <v>0.75</v>
      </c>
      <c r="AQ41">
        <v>0.23122899999999999</v>
      </c>
    </row>
    <row r="42" spans="1:43" ht="15" x14ac:dyDescent="0.35">
      <c r="A42" s="5">
        <f t="shared" si="19"/>
        <v>0.19739999999999999</v>
      </c>
      <c r="B42" s="6">
        <f t="shared" si="20"/>
        <v>0.875</v>
      </c>
      <c r="C42" s="6">
        <v>0.25683899999999998</v>
      </c>
      <c r="D42" s="6"/>
      <c r="E42" s="7">
        <v>0.19739999999999999</v>
      </c>
      <c r="F42">
        <f t="shared" si="13"/>
        <v>0.875</v>
      </c>
      <c r="G42">
        <v>0.25516</v>
      </c>
      <c r="I42" s="4">
        <v>0.19739999999999999</v>
      </c>
      <c r="J42">
        <f t="shared" si="14"/>
        <v>0.875</v>
      </c>
      <c r="K42">
        <v>0.25233699999999998</v>
      </c>
      <c r="M42">
        <v>0.19739999999999999</v>
      </c>
      <c r="N42">
        <f t="shared" si="15"/>
        <v>0.875</v>
      </c>
      <c r="O42">
        <v>0.24473400000000001</v>
      </c>
      <c r="Q42" s="4">
        <v>0.22559999999999999</v>
      </c>
      <c r="R42">
        <f t="shared" si="21"/>
        <v>1</v>
      </c>
      <c r="S42">
        <v>0.29968899999999998</v>
      </c>
      <c r="V42" s="4">
        <v>0.32</v>
      </c>
      <c r="W42">
        <f t="shared" si="12"/>
        <v>1</v>
      </c>
      <c r="X42">
        <v>0.29752699999999999</v>
      </c>
      <c r="Z42" s="4">
        <v>0.32</v>
      </c>
      <c r="AA42">
        <f t="shared" si="16"/>
        <v>1</v>
      </c>
      <c r="AB42">
        <v>0.279723</v>
      </c>
      <c r="AD42" s="4">
        <v>0.28000000000000003</v>
      </c>
      <c r="AE42">
        <f t="shared" si="17"/>
        <v>0.87500000000000011</v>
      </c>
      <c r="AF42">
        <v>0.24352799999999999</v>
      </c>
      <c r="AH42" s="4">
        <v>0.56000000000000005</v>
      </c>
      <c r="AI42">
        <f t="shared" si="18"/>
        <v>1.7500000000000002</v>
      </c>
      <c r="AJ42">
        <v>0.50584499999999999</v>
      </c>
      <c r="AM42" s="7">
        <v>0.875</v>
      </c>
      <c r="AN42">
        <v>0.26335799999999998</v>
      </c>
      <c r="AP42">
        <v>0.87500000000000011</v>
      </c>
      <c r="AQ42">
        <v>0.27111600000000002</v>
      </c>
    </row>
    <row r="43" spans="1:43" ht="15" x14ac:dyDescent="0.35">
      <c r="A43" s="5">
        <f t="shared" si="19"/>
        <v>0.22559999999999999</v>
      </c>
      <c r="B43" s="6">
        <f t="shared" si="20"/>
        <v>1</v>
      </c>
      <c r="C43" s="6">
        <v>0.29465200000000003</v>
      </c>
      <c r="D43" s="6"/>
      <c r="E43" s="7">
        <v>0.22559999999999999</v>
      </c>
      <c r="F43">
        <f t="shared" si="13"/>
        <v>1</v>
      </c>
      <c r="G43">
        <v>0.29272700000000001</v>
      </c>
      <c r="I43" s="4">
        <v>0.22559999999999999</v>
      </c>
      <c r="J43">
        <f t="shared" si="14"/>
        <v>1</v>
      </c>
      <c r="K43">
        <v>0.28945900000000002</v>
      </c>
      <c r="M43">
        <v>0.22559999999999999</v>
      </c>
      <c r="N43">
        <f t="shared" si="15"/>
        <v>1</v>
      </c>
      <c r="O43">
        <v>0.280609</v>
      </c>
      <c r="Q43" s="4">
        <v>0.25380000000000003</v>
      </c>
      <c r="R43">
        <f t="shared" si="21"/>
        <v>1.1250000000000002</v>
      </c>
      <c r="S43">
        <v>0.33649499999999999</v>
      </c>
      <c r="V43" s="4">
        <v>0.36</v>
      </c>
      <c r="W43">
        <f t="shared" si="12"/>
        <v>1.125</v>
      </c>
      <c r="X43">
        <v>0.33869300000000002</v>
      </c>
      <c r="Z43" s="4">
        <v>0.36</v>
      </c>
      <c r="AA43">
        <f t="shared" si="16"/>
        <v>1.125</v>
      </c>
      <c r="AB43">
        <v>0.32077800000000001</v>
      </c>
      <c r="AD43" s="4">
        <v>0.32</v>
      </c>
      <c r="AE43">
        <f t="shared" si="17"/>
        <v>1</v>
      </c>
      <c r="AF43">
        <v>0.28161999999999998</v>
      </c>
      <c r="AH43" s="4">
        <v>0.64</v>
      </c>
      <c r="AI43">
        <f t="shared" si="18"/>
        <v>2</v>
      </c>
      <c r="AJ43">
        <v>0.58013899999999996</v>
      </c>
      <c r="AM43" s="7">
        <v>1</v>
      </c>
      <c r="AN43">
        <v>0.30131599999999997</v>
      </c>
      <c r="AP43">
        <v>1</v>
      </c>
      <c r="AQ43">
        <v>0.31203700000000001</v>
      </c>
    </row>
    <row r="44" spans="1:43" ht="15" x14ac:dyDescent="0.35">
      <c r="A44" s="5">
        <f t="shared" si="19"/>
        <v>0.25379999999999997</v>
      </c>
      <c r="B44" s="6">
        <f t="shared" si="20"/>
        <v>1.125</v>
      </c>
      <c r="C44" s="6">
        <v>0.33234200000000003</v>
      </c>
      <c r="D44" s="6"/>
      <c r="E44" s="7">
        <v>0.25380000000000003</v>
      </c>
      <c r="F44">
        <f t="shared" si="13"/>
        <v>1.1250000000000002</v>
      </c>
      <c r="G44">
        <v>0.33038099999999998</v>
      </c>
      <c r="I44" s="4">
        <v>0.25380000000000003</v>
      </c>
      <c r="J44">
        <f t="shared" si="14"/>
        <v>1.1250000000000002</v>
      </c>
      <c r="K44">
        <v>0.32681500000000002</v>
      </c>
      <c r="M44">
        <v>0.25380000000000003</v>
      </c>
      <c r="N44">
        <f t="shared" si="15"/>
        <v>1.1250000000000002</v>
      </c>
      <c r="O44">
        <v>0.31730000000000003</v>
      </c>
      <c r="Q44" s="4">
        <v>0.28199999999999997</v>
      </c>
      <c r="R44">
        <f t="shared" si="21"/>
        <v>1.25</v>
      </c>
      <c r="S44">
        <v>0.37238599999999999</v>
      </c>
      <c r="V44" s="4">
        <v>0.39999999999999997</v>
      </c>
      <c r="W44">
        <f t="shared" si="12"/>
        <v>1.2499999999999998</v>
      </c>
      <c r="X44">
        <v>0.37953399999999998</v>
      </c>
      <c r="Z44" s="4">
        <v>0.4</v>
      </c>
      <c r="AA44">
        <f t="shared" si="16"/>
        <v>1.25</v>
      </c>
      <c r="AB44">
        <v>0.36215999999999998</v>
      </c>
      <c r="AD44" s="4">
        <v>0.36</v>
      </c>
      <c r="AE44">
        <f t="shared" si="17"/>
        <v>1.125</v>
      </c>
      <c r="AF44">
        <v>0.32127899999999998</v>
      </c>
      <c r="AH44" s="4">
        <v>0.72</v>
      </c>
      <c r="AI44">
        <f t="shared" si="18"/>
        <v>2.25</v>
      </c>
      <c r="AJ44">
        <v>0.65306399999999998</v>
      </c>
      <c r="AM44" s="7">
        <v>1.1250000000000002</v>
      </c>
      <c r="AN44">
        <v>0.33896399999999999</v>
      </c>
      <c r="AP44">
        <v>1.125</v>
      </c>
      <c r="AQ44">
        <v>0.35273700000000002</v>
      </c>
    </row>
    <row r="45" spans="1:43" ht="15" x14ac:dyDescent="0.35">
      <c r="A45" s="5">
        <f t="shared" si="19"/>
        <v>0.28199999999999997</v>
      </c>
      <c r="B45" s="6">
        <f t="shared" si="20"/>
        <v>1.25</v>
      </c>
      <c r="C45" s="6">
        <v>0.36932799999999999</v>
      </c>
      <c r="D45" s="6"/>
      <c r="E45" s="7">
        <v>0.28199999999999997</v>
      </c>
      <c r="F45">
        <f t="shared" si="13"/>
        <v>1.25</v>
      </c>
      <c r="G45">
        <v>0.36741699999999999</v>
      </c>
      <c r="I45" s="4">
        <v>0.28199999999999997</v>
      </c>
      <c r="J45">
        <f t="shared" si="14"/>
        <v>1.25</v>
      </c>
      <c r="K45">
        <v>0.36377799999999999</v>
      </c>
      <c r="M45">
        <v>0.28199999999999997</v>
      </c>
      <c r="N45">
        <f t="shared" si="15"/>
        <v>1.25</v>
      </c>
      <c r="O45">
        <v>0.35408000000000001</v>
      </c>
      <c r="Q45" s="4">
        <v>0.31019999999999998</v>
      </c>
      <c r="R45">
        <f t="shared" si="21"/>
        <v>1.375</v>
      </c>
      <c r="S45">
        <v>0.40745300000000001</v>
      </c>
      <c r="V45" s="4">
        <v>0.43999999999999995</v>
      </c>
      <c r="W45">
        <f t="shared" si="12"/>
        <v>1.3749999999999998</v>
      </c>
      <c r="X45">
        <v>0.41946299999999997</v>
      </c>
      <c r="Z45" s="4">
        <v>0.44</v>
      </c>
      <c r="AA45">
        <f t="shared" si="16"/>
        <v>1.375</v>
      </c>
      <c r="AB45">
        <v>0.40303099999999997</v>
      </c>
      <c r="AD45" s="4">
        <v>0.4</v>
      </c>
      <c r="AE45">
        <f t="shared" si="17"/>
        <v>1.25</v>
      </c>
      <c r="AF45">
        <v>0.36157099999999998</v>
      </c>
      <c r="AH45" s="4">
        <v>0.8</v>
      </c>
      <c r="AI45">
        <f t="shared" si="18"/>
        <v>2.5</v>
      </c>
      <c r="AJ45">
        <v>0.72645199999999999</v>
      </c>
      <c r="AM45" s="7">
        <v>1.25</v>
      </c>
      <c r="AN45">
        <v>0.375809</v>
      </c>
      <c r="AP45">
        <v>1.2499999999999998</v>
      </c>
      <c r="AQ45">
        <v>0.39237899999999998</v>
      </c>
    </row>
    <row r="46" spans="1:43" ht="15" x14ac:dyDescent="0.35">
      <c r="A46" s="5">
        <f t="shared" si="19"/>
        <v>0.31019999999999998</v>
      </c>
      <c r="B46" s="6">
        <f t="shared" si="20"/>
        <v>1.375</v>
      </c>
      <c r="C46" s="6">
        <v>0.40543000000000001</v>
      </c>
      <c r="D46" s="6"/>
      <c r="E46" s="7">
        <v>0.31019999999999998</v>
      </c>
      <c r="F46">
        <f t="shared" si="13"/>
        <v>1.375</v>
      </c>
      <c r="G46">
        <v>0.40356799999999998</v>
      </c>
      <c r="I46" s="4">
        <v>0.31019999999999998</v>
      </c>
      <c r="J46">
        <f t="shared" si="14"/>
        <v>1.375</v>
      </c>
      <c r="K46">
        <v>0.40000799999999997</v>
      </c>
      <c r="M46">
        <v>0.31019999999999998</v>
      </c>
      <c r="N46">
        <f t="shared" si="15"/>
        <v>1.375</v>
      </c>
      <c r="O46">
        <v>0.39050099999999999</v>
      </c>
      <c r="Q46" s="4">
        <v>0.33839999999999998</v>
      </c>
      <c r="R46">
        <f t="shared" si="21"/>
        <v>1.5</v>
      </c>
      <c r="S46">
        <v>0.44197199999999998</v>
      </c>
      <c r="V46" s="4">
        <v>0.47999999999999993</v>
      </c>
      <c r="W46">
        <f t="shared" si="12"/>
        <v>1.4999999999999998</v>
      </c>
      <c r="X46">
        <v>0.45830900000000002</v>
      </c>
      <c r="Z46" s="4">
        <v>0.48</v>
      </c>
      <c r="AA46">
        <f t="shared" si="16"/>
        <v>1.5</v>
      </c>
      <c r="AB46">
        <v>0.44289200000000001</v>
      </c>
      <c r="AD46" s="4">
        <v>0.44</v>
      </c>
      <c r="AE46">
        <f t="shared" si="17"/>
        <v>1.375</v>
      </c>
      <c r="AF46">
        <v>0.40182600000000002</v>
      </c>
      <c r="AH46" s="4">
        <v>0.88</v>
      </c>
      <c r="AI46">
        <f t="shared" si="18"/>
        <v>2.75</v>
      </c>
      <c r="AJ46">
        <v>0.80174299999999998</v>
      </c>
      <c r="AM46" s="7">
        <v>1.375</v>
      </c>
      <c r="AN46">
        <v>0.41184199999999999</v>
      </c>
      <c r="AP46">
        <v>1.3749999999999998</v>
      </c>
      <c r="AQ46">
        <v>0.43069299999999999</v>
      </c>
    </row>
    <row r="47" spans="1:43" ht="15" x14ac:dyDescent="0.35">
      <c r="A47" s="5">
        <f t="shared" si="19"/>
        <v>0.33839999999999998</v>
      </c>
      <c r="B47" s="6">
        <f t="shared" si="20"/>
        <v>1.5</v>
      </c>
      <c r="C47" s="6">
        <v>0.44081199999999998</v>
      </c>
      <c r="D47" s="6"/>
      <c r="E47" s="7">
        <v>0.33839999999999998</v>
      </c>
      <c r="F47">
        <f t="shared" si="13"/>
        <v>1.5</v>
      </c>
      <c r="G47">
        <v>0.43888500000000003</v>
      </c>
      <c r="I47" s="4">
        <v>0.33839999999999998</v>
      </c>
      <c r="J47">
        <f t="shared" si="14"/>
        <v>1.5</v>
      </c>
      <c r="K47">
        <v>0.43541600000000003</v>
      </c>
      <c r="M47">
        <v>0.33839999999999998</v>
      </c>
      <c r="N47">
        <f t="shared" si="15"/>
        <v>1.5</v>
      </c>
      <c r="O47">
        <v>0.42630299999999999</v>
      </c>
      <c r="Q47" s="4">
        <v>0.36659999999999998</v>
      </c>
      <c r="R47">
        <f t="shared" si="21"/>
        <v>1.625</v>
      </c>
      <c r="S47">
        <v>0.47617399999999999</v>
      </c>
      <c r="V47" s="4">
        <v>0.51999999999999991</v>
      </c>
      <c r="W47">
        <f t="shared" si="12"/>
        <v>1.6249999999999998</v>
      </c>
      <c r="X47">
        <v>0.49628800000000001</v>
      </c>
      <c r="Z47" s="4">
        <v>0.52</v>
      </c>
      <c r="AA47">
        <f t="shared" si="16"/>
        <v>1.625</v>
      </c>
      <c r="AB47">
        <v>0.48163800000000001</v>
      </c>
      <c r="AD47" s="4">
        <v>0.48</v>
      </c>
      <c r="AE47">
        <f t="shared" si="17"/>
        <v>1.5</v>
      </c>
      <c r="AF47">
        <v>0.44150299999999998</v>
      </c>
      <c r="AH47" s="4">
        <v>0.96</v>
      </c>
      <c r="AI47">
        <f t="shared" si="18"/>
        <v>3</v>
      </c>
      <c r="AJ47">
        <v>0.88101700000000005</v>
      </c>
      <c r="AM47" s="7">
        <v>1.5</v>
      </c>
      <c r="AN47">
        <v>0.44731700000000002</v>
      </c>
      <c r="AP47">
        <v>1.4999999999999998</v>
      </c>
      <c r="AQ47">
        <v>0.46794599999999997</v>
      </c>
    </row>
    <row r="48" spans="1:43" ht="15" x14ac:dyDescent="0.35">
      <c r="A48" s="5">
        <f t="shared" si="19"/>
        <v>0.36659999999999998</v>
      </c>
      <c r="B48" s="6">
        <f t="shared" si="20"/>
        <v>1.625</v>
      </c>
      <c r="C48" s="6">
        <v>0.475746</v>
      </c>
      <c r="D48" s="6"/>
      <c r="E48" s="7">
        <v>0.36659999999999998</v>
      </c>
      <c r="F48">
        <f t="shared" si="13"/>
        <v>1.625</v>
      </c>
      <c r="G48">
        <v>0.473607</v>
      </c>
      <c r="I48" s="4">
        <v>0.36659999999999998</v>
      </c>
      <c r="J48">
        <f t="shared" si="14"/>
        <v>1.625</v>
      </c>
      <c r="K48">
        <v>0.47012599999999999</v>
      </c>
      <c r="M48">
        <v>0.36659999999999998</v>
      </c>
      <c r="N48">
        <f t="shared" si="15"/>
        <v>1.625</v>
      </c>
      <c r="O48">
        <v>0.46142100000000003</v>
      </c>
      <c r="Q48" s="4">
        <v>0.39479999999999998</v>
      </c>
      <c r="R48">
        <f t="shared" si="21"/>
        <v>1.75</v>
      </c>
      <c r="S48">
        <v>0.51019499999999995</v>
      </c>
      <c r="V48" s="4">
        <v>0.55999999999999994</v>
      </c>
      <c r="W48">
        <f t="shared" si="12"/>
        <v>1.7499999999999998</v>
      </c>
      <c r="X48">
        <v>0.53375499999999998</v>
      </c>
      <c r="Z48" s="4">
        <v>0.56000000000000005</v>
      </c>
      <c r="AA48">
        <f t="shared" si="16"/>
        <v>1.7500000000000002</v>
      </c>
      <c r="AB48">
        <v>0.519482</v>
      </c>
      <c r="AD48" s="4">
        <v>0.52</v>
      </c>
      <c r="AE48">
        <f t="shared" si="17"/>
        <v>1.625</v>
      </c>
      <c r="AF48">
        <v>0.48029699999999997</v>
      </c>
      <c r="AH48" s="4">
        <v>1.04</v>
      </c>
      <c r="AI48">
        <f t="shared" si="18"/>
        <v>3.25</v>
      </c>
      <c r="AJ48">
        <v>0.96747000000000005</v>
      </c>
      <c r="AM48" s="7">
        <v>1.625</v>
      </c>
      <c r="AN48">
        <v>0.482462</v>
      </c>
      <c r="AP48">
        <v>1.6249999999999998</v>
      </c>
      <c r="AQ48">
        <v>0.50454600000000005</v>
      </c>
    </row>
    <row r="49" spans="1:43" ht="15" x14ac:dyDescent="0.35">
      <c r="A49" s="5">
        <f t="shared" si="19"/>
        <v>0.39479999999999998</v>
      </c>
      <c r="B49" s="6">
        <f t="shared" si="20"/>
        <v>1.75</v>
      </c>
      <c r="C49" s="6">
        <v>0.51042500000000002</v>
      </c>
      <c r="D49" s="6"/>
      <c r="E49" s="7">
        <v>0.39479999999999998</v>
      </c>
      <c r="F49">
        <f t="shared" si="13"/>
        <v>1.75</v>
      </c>
      <c r="G49">
        <v>0.50798299999999996</v>
      </c>
      <c r="I49" s="4">
        <v>0.39479999999999998</v>
      </c>
      <c r="J49">
        <f t="shared" si="14"/>
        <v>1.75</v>
      </c>
      <c r="K49">
        <v>0.50436700000000001</v>
      </c>
      <c r="M49">
        <v>0.39479999999999998</v>
      </c>
      <c r="N49">
        <f t="shared" si="15"/>
        <v>1.75</v>
      </c>
      <c r="O49">
        <v>0.495952</v>
      </c>
      <c r="Q49" s="4">
        <v>0.42299999999999999</v>
      </c>
      <c r="R49">
        <f t="shared" si="21"/>
        <v>1.875</v>
      </c>
      <c r="S49">
        <v>0.54412700000000003</v>
      </c>
      <c r="V49" s="4">
        <v>0.6</v>
      </c>
      <c r="W49">
        <f t="shared" si="12"/>
        <v>1.875</v>
      </c>
      <c r="X49">
        <v>0.57098700000000002</v>
      </c>
      <c r="Z49" s="4">
        <v>0.6</v>
      </c>
      <c r="AA49">
        <f t="shared" si="16"/>
        <v>1.875</v>
      </c>
      <c r="AB49">
        <v>0.55676400000000004</v>
      </c>
      <c r="AD49" s="4">
        <v>0.56000000000000005</v>
      </c>
      <c r="AE49">
        <f t="shared" si="17"/>
        <v>1.7500000000000002</v>
      </c>
      <c r="AF49">
        <v>0.51818900000000001</v>
      </c>
      <c r="AH49" s="4">
        <v>1.08</v>
      </c>
      <c r="AI49">
        <f t="shared" si="18"/>
        <v>3.375</v>
      </c>
      <c r="AJ49">
        <v>1.01423</v>
      </c>
      <c r="AM49" s="7">
        <v>1.7411347517730495</v>
      </c>
      <c r="AN49">
        <v>0.51740799999999998</v>
      </c>
      <c r="AP49">
        <v>1.7499999999999998</v>
      </c>
      <c r="AQ49">
        <v>0.54078400000000004</v>
      </c>
    </row>
    <row r="50" spans="1:43" ht="15" x14ac:dyDescent="0.35">
      <c r="A50" s="5">
        <f t="shared" si="19"/>
        <v>0.42299999999999999</v>
      </c>
      <c r="B50" s="6">
        <f t="shared" si="20"/>
        <v>1.875</v>
      </c>
      <c r="C50" s="6">
        <v>0.544956</v>
      </c>
      <c r="D50" s="6"/>
      <c r="E50" s="7">
        <v>0.42299999999999999</v>
      </c>
      <c r="F50">
        <f t="shared" si="13"/>
        <v>1.875</v>
      </c>
      <c r="G50">
        <v>0.54216399999999998</v>
      </c>
      <c r="I50" s="4">
        <v>0.42299999999999999</v>
      </c>
      <c r="J50">
        <f t="shared" si="14"/>
        <v>1.875</v>
      </c>
      <c r="K50">
        <v>0.53835299999999997</v>
      </c>
      <c r="M50">
        <v>0.42299999999999999</v>
      </c>
      <c r="N50">
        <f t="shared" si="15"/>
        <v>1.875</v>
      </c>
      <c r="O50">
        <v>0.53007400000000005</v>
      </c>
      <c r="Q50" s="4">
        <v>0.45119999999999999</v>
      </c>
      <c r="R50">
        <f t="shared" si="21"/>
        <v>2</v>
      </c>
      <c r="S50">
        <v>0.57804999999999995</v>
      </c>
      <c r="V50" s="4">
        <v>0.68</v>
      </c>
      <c r="W50">
        <f t="shared" si="12"/>
        <v>2.125</v>
      </c>
      <c r="X50">
        <v>0.64534599999999998</v>
      </c>
      <c r="Z50" s="4">
        <v>0.64</v>
      </c>
      <c r="AA50">
        <f t="shared" si="16"/>
        <v>2</v>
      </c>
      <c r="AB50">
        <v>0.59377100000000005</v>
      </c>
      <c r="AD50" s="4">
        <v>0.6</v>
      </c>
      <c r="AE50">
        <f t="shared" si="17"/>
        <v>1.875</v>
      </c>
      <c r="AF50">
        <v>0.55537899999999996</v>
      </c>
      <c r="AH50" s="4">
        <v>1.1200000000000001</v>
      </c>
      <c r="AI50">
        <f t="shared" si="18"/>
        <v>3.5000000000000004</v>
      </c>
      <c r="AJ50">
        <v>1.06325</v>
      </c>
      <c r="AM50" s="7">
        <v>1.875</v>
      </c>
      <c r="AN50">
        <v>0.55220000000000002</v>
      </c>
      <c r="AP50">
        <v>1.875</v>
      </c>
      <c r="AQ50">
        <v>0.57683899999999999</v>
      </c>
    </row>
    <row r="51" spans="1:43" ht="15" x14ac:dyDescent="0.35">
      <c r="A51" s="5">
        <f t="shared" si="19"/>
        <v>0.45119999999999999</v>
      </c>
      <c r="B51" s="6">
        <f t="shared" si="20"/>
        <v>2</v>
      </c>
      <c r="C51" s="6">
        <v>0.57939099999999999</v>
      </c>
      <c r="D51" s="6"/>
      <c r="E51" s="7">
        <v>0.45119999999999999</v>
      </c>
      <c r="F51">
        <f t="shared" si="13"/>
        <v>2</v>
      </c>
      <c r="G51">
        <v>0.57623000000000002</v>
      </c>
      <c r="I51" s="4">
        <v>0.45119999999999999</v>
      </c>
      <c r="J51">
        <f t="shared" si="14"/>
        <v>2</v>
      </c>
      <c r="K51">
        <v>0.57222200000000001</v>
      </c>
      <c r="M51">
        <v>0.45119999999999999</v>
      </c>
      <c r="N51">
        <f t="shared" si="15"/>
        <v>2</v>
      </c>
      <c r="O51">
        <v>0.56396500000000005</v>
      </c>
      <c r="Q51" s="4">
        <v>0.47939999999999999</v>
      </c>
      <c r="R51">
        <f t="shared" si="21"/>
        <v>2.125</v>
      </c>
      <c r="S51">
        <v>0.61204999999999998</v>
      </c>
      <c r="V51" s="4">
        <v>0.72000000000000008</v>
      </c>
      <c r="W51">
        <f t="shared" si="12"/>
        <v>2.25</v>
      </c>
      <c r="X51">
        <v>0.682674</v>
      </c>
      <c r="Z51" s="4">
        <v>0.68</v>
      </c>
      <c r="AA51">
        <f t="shared" si="16"/>
        <v>2.125</v>
      </c>
      <c r="AB51">
        <v>0.63068900000000006</v>
      </c>
      <c r="AD51" s="4">
        <v>0.64</v>
      </c>
      <c r="AE51">
        <f t="shared" si="17"/>
        <v>2</v>
      </c>
      <c r="AF51">
        <v>0.59215200000000001</v>
      </c>
      <c r="AH51" s="4">
        <v>1.1599999999999999</v>
      </c>
      <c r="AI51">
        <f t="shared" si="18"/>
        <v>3.6249999999999996</v>
      </c>
      <c r="AJ51">
        <v>1.1141399999999999</v>
      </c>
      <c r="AM51" s="7">
        <v>2</v>
      </c>
      <c r="AN51">
        <v>0.58684599999999998</v>
      </c>
      <c r="AP51">
        <v>2</v>
      </c>
      <c r="AQ51">
        <v>0.61283100000000001</v>
      </c>
    </row>
    <row r="52" spans="1:43" ht="15" x14ac:dyDescent="0.35">
      <c r="A52" s="5">
        <f t="shared" si="19"/>
        <v>0.47939999999999999</v>
      </c>
      <c r="B52" s="6">
        <f t="shared" si="20"/>
        <v>2.125</v>
      </c>
      <c r="C52" s="6">
        <v>0.61375299999999999</v>
      </c>
      <c r="D52" s="6"/>
      <c r="E52" s="7">
        <v>0.47939999999999999</v>
      </c>
      <c r="F52">
        <f t="shared" si="13"/>
        <v>2.125</v>
      </c>
      <c r="G52">
        <v>0.61023899999999998</v>
      </c>
      <c r="I52" s="4">
        <v>0.47939999999999999</v>
      </c>
      <c r="J52">
        <f t="shared" si="14"/>
        <v>2.125</v>
      </c>
      <c r="K52">
        <v>0.60604100000000005</v>
      </c>
      <c r="M52">
        <v>0.47939999999999999</v>
      </c>
      <c r="N52">
        <f t="shared" si="15"/>
        <v>2.125</v>
      </c>
      <c r="O52">
        <v>0.59775900000000004</v>
      </c>
      <c r="Q52" s="4">
        <v>0.50760000000000005</v>
      </c>
      <c r="R52">
        <f t="shared" si="21"/>
        <v>2.2500000000000004</v>
      </c>
      <c r="S52">
        <v>0.64620699999999998</v>
      </c>
      <c r="V52" s="4">
        <v>0.76000000000000012</v>
      </c>
      <c r="W52">
        <f t="shared" si="12"/>
        <v>2.3750000000000004</v>
      </c>
      <c r="X52">
        <v>0.72027699999999995</v>
      </c>
      <c r="Z52" s="4">
        <v>0.72</v>
      </c>
      <c r="AA52">
        <f t="shared" si="16"/>
        <v>2.25</v>
      </c>
      <c r="AB52">
        <v>0.66764599999999996</v>
      </c>
      <c r="AD52" s="4">
        <v>0.68</v>
      </c>
      <c r="AE52">
        <f t="shared" si="17"/>
        <v>2.125</v>
      </c>
      <c r="AF52">
        <v>0.62876399999999999</v>
      </c>
      <c r="AH52" s="4">
        <v>1.2</v>
      </c>
      <c r="AI52">
        <f t="shared" si="18"/>
        <v>3.75</v>
      </c>
      <c r="AJ52">
        <v>1.16631</v>
      </c>
      <c r="AM52" s="7">
        <v>2.125</v>
      </c>
      <c r="AN52">
        <v>0.62135499999999999</v>
      </c>
      <c r="AP52">
        <v>2.125</v>
      </c>
      <c r="AQ52">
        <v>0.64888400000000002</v>
      </c>
    </row>
    <row r="53" spans="1:43" ht="15" x14ac:dyDescent="0.35">
      <c r="A53" s="5">
        <f t="shared" si="19"/>
        <v>0.50759999999999994</v>
      </c>
      <c r="B53" s="6">
        <f t="shared" si="20"/>
        <v>2.25</v>
      </c>
      <c r="C53" s="6">
        <v>0.64808699999999997</v>
      </c>
      <c r="D53" s="6"/>
      <c r="E53" s="7">
        <v>0.50760000000000005</v>
      </c>
      <c r="F53">
        <f t="shared" si="13"/>
        <v>2.2500000000000004</v>
      </c>
      <c r="G53">
        <v>0.64425699999999997</v>
      </c>
      <c r="I53" s="4">
        <v>0.50760000000000005</v>
      </c>
      <c r="J53">
        <f t="shared" si="14"/>
        <v>2.2500000000000004</v>
      </c>
      <c r="K53">
        <v>0.63987000000000005</v>
      </c>
      <c r="M53">
        <v>0.50760000000000005</v>
      </c>
      <c r="N53">
        <f t="shared" si="15"/>
        <v>2.2500000000000004</v>
      </c>
      <c r="O53">
        <v>0.63154600000000005</v>
      </c>
      <c r="Q53" s="4">
        <v>0.53580000000000005</v>
      </c>
      <c r="R53">
        <f t="shared" si="21"/>
        <v>2.3750000000000004</v>
      </c>
      <c r="S53">
        <v>0.68079800000000001</v>
      </c>
      <c r="V53" s="4">
        <v>0.80000000000000016</v>
      </c>
      <c r="W53">
        <f t="shared" si="12"/>
        <v>2.5000000000000004</v>
      </c>
      <c r="X53">
        <v>0.75839299999999998</v>
      </c>
      <c r="Z53" s="4">
        <v>0.76</v>
      </c>
      <c r="AA53">
        <f t="shared" si="16"/>
        <v>2.375</v>
      </c>
      <c r="AB53">
        <v>0.70477900000000004</v>
      </c>
      <c r="AD53" s="4">
        <v>0.72</v>
      </c>
      <c r="AE53">
        <f t="shared" si="17"/>
        <v>2.25</v>
      </c>
      <c r="AF53">
        <v>0.66540500000000002</v>
      </c>
      <c r="AM53" s="7">
        <v>2.2500000000000004</v>
      </c>
      <c r="AN53">
        <v>0.65575099999999997</v>
      </c>
      <c r="AP53">
        <v>2.25</v>
      </c>
      <c r="AQ53">
        <v>0.68518599999999996</v>
      </c>
    </row>
    <row r="54" spans="1:43" ht="15" x14ac:dyDescent="0.35">
      <c r="A54" s="5">
        <f t="shared" si="19"/>
        <v>0.53579999999999994</v>
      </c>
      <c r="B54" s="6">
        <f t="shared" si="20"/>
        <v>2.375</v>
      </c>
      <c r="C54" s="6">
        <v>0.68252599999999997</v>
      </c>
      <c r="D54" s="6"/>
      <c r="E54" s="7">
        <v>0.56399999999999995</v>
      </c>
      <c r="F54">
        <f t="shared" si="13"/>
        <v>2.5</v>
      </c>
      <c r="G54">
        <v>0.71277999999999997</v>
      </c>
      <c r="I54" s="4">
        <v>0.53580000000000005</v>
      </c>
      <c r="J54">
        <f t="shared" si="14"/>
        <v>2.3750000000000004</v>
      </c>
      <c r="K54">
        <v>0.67379299999999998</v>
      </c>
      <c r="M54">
        <v>0.53580000000000005</v>
      </c>
      <c r="N54">
        <f t="shared" si="15"/>
        <v>2.3750000000000004</v>
      </c>
      <c r="O54">
        <v>0.66539300000000001</v>
      </c>
      <c r="Q54" s="4">
        <v>0.56399999999999995</v>
      </c>
      <c r="R54">
        <f t="shared" si="21"/>
        <v>2.5</v>
      </c>
      <c r="S54">
        <v>0.71605099999999999</v>
      </c>
      <c r="V54" s="4">
        <v>0.84000000000000019</v>
      </c>
      <c r="W54">
        <f t="shared" si="12"/>
        <v>2.6250000000000004</v>
      </c>
      <c r="X54">
        <v>0.797427</v>
      </c>
      <c r="Z54" s="4">
        <v>0.8</v>
      </c>
      <c r="AA54">
        <f t="shared" si="16"/>
        <v>2.5</v>
      </c>
      <c r="AB54">
        <v>0.74228300000000003</v>
      </c>
      <c r="AD54" s="4">
        <v>0.76</v>
      </c>
      <c r="AE54">
        <f t="shared" si="17"/>
        <v>2.375</v>
      </c>
      <c r="AF54">
        <v>0.70222399999999996</v>
      </c>
      <c r="AM54" s="7">
        <v>2.3750000000000004</v>
      </c>
      <c r="AN54">
        <v>0.69014299999999995</v>
      </c>
      <c r="AP54">
        <v>2.3750000000000004</v>
      </c>
      <c r="AQ54">
        <v>0.72202200000000005</v>
      </c>
    </row>
    <row r="55" spans="1:43" ht="15" x14ac:dyDescent="0.35">
      <c r="A55" s="5">
        <f t="shared" si="19"/>
        <v>0.56399999999999995</v>
      </c>
      <c r="B55" s="6">
        <f t="shared" si="20"/>
        <v>2.5</v>
      </c>
      <c r="C55" s="6">
        <v>0.71729900000000002</v>
      </c>
      <c r="D55" s="6"/>
      <c r="E55" s="7">
        <v>0.59219999999999995</v>
      </c>
      <c r="F55">
        <f t="shared" si="13"/>
        <v>2.625</v>
      </c>
      <c r="G55">
        <v>0.74764200000000003</v>
      </c>
      <c r="I55" s="4">
        <v>0.56399999999999995</v>
      </c>
      <c r="J55">
        <f t="shared" si="14"/>
        <v>2.5</v>
      </c>
      <c r="K55">
        <v>0.70795399999999997</v>
      </c>
      <c r="M55">
        <v>0.56399999999999995</v>
      </c>
      <c r="N55">
        <f t="shared" si="15"/>
        <v>2.5</v>
      </c>
      <c r="O55">
        <v>0.69938599999999995</v>
      </c>
      <c r="Q55" s="4">
        <v>0.59219999999999995</v>
      </c>
      <c r="R55">
        <f t="shared" si="21"/>
        <v>2.625</v>
      </c>
      <c r="S55">
        <v>0.751552</v>
      </c>
      <c r="V55" s="4">
        <v>0.88000000000000023</v>
      </c>
      <c r="W55">
        <f t="shared" si="12"/>
        <v>2.7500000000000004</v>
      </c>
      <c r="X55">
        <v>0.83804299999999998</v>
      </c>
      <c r="Z55" s="4">
        <v>0.84</v>
      </c>
      <c r="AA55">
        <f t="shared" si="16"/>
        <v>2.625</v>
      </c>
      <c r="AB55">
        <v>0.78045500000000001</v>
      </c>
      <c r="AD55" s="4">
        <v>0.8</v>
      </c>
      <c r="AE55">
        <f t="shared" si="17"/>
        <v>2.5</v>
      </c>
      <c r="AF55">
        <v>0.73938000000000004</v>
      </c>
      <c r="AM55" s="7">
        <v>2.5</v>
      </c>
      <c r="AN55">
        <v>0.72472499999999995</v>
      </c>
      <c r="AP55">
        <v>2.5000000000000004</v>
      </c>
      <c r="AQ55">
        <v>0.75981200000000004</v>
      </c>
    </row>
    <row r="56" spans="1:43" ht="15" x14ac:dyDescent="0.35">
      <c r="A56" s="5">
        <f t="shared" si="19"/>
        <v>0.59219999999999995</v>
      </c>
      <c r="B56" s="6">
        <f t="shared" si="20"/>
        <v>2.625</v>
      </c>
      <c r="C56" s="6">
        <v>0.752579</v>
      </c>
      <c r="D56" s="6"/>
      <c r="E56" s="7">
        <v>0.62039999999999995</v>
      </c>
      <c r="F56">
        <f t="shared" si="13"/>
        <v>2.75</v>
      </c>
      <c r="G56">
        <v>0.78324700000000003</v>
      </c>
      <c r="I56" s="4">
        <v>0.59219999999999995</v>
      </c>
      <c r="J56">
        <f t="shared" si="14"/>
        <v>2.625</v>
      </c>
      <c r="K56">
        <v>0.74258400000000002</v>
      </c>
      <c r="M56">
        <v>0.59219999999999995</v>
      </c>
      <c r="N56">
        <f t="shared" si="15"/>
        <v>2.625</v>
      </c>
      <c r="O56">
        <v>0.73366299999999995</v>
      </c>
      <c r="Q56" s="4">
        <v>0.62039999999999995</v>
      </c>
      <c r="R56">
        <f t="shared" si="21"/>
        <v>2.75</v>
      </c>
      <c r="S56">
        <v>0.78745299999999996</v>
      </c>
      <c r="V56" s="4">
        <v>0.92000000000000026</v>
      </c>
      <c r="W56">
        <f t="shared" si="12"/>
        <v>2.8750000000000009</v>
      </c>
      <c r="X56">
        <v>0.88126499999999997</v>
      </c>
      <c r="Z56" s="4">
        <v>0.88</v>
      </c>
      <c r="AA56">
        <f t="shared" si="16"/>
        <v>2.75</v>
      </c>
      <c r="AB56">
        <v>0.819739</v>
      </c>
      <c r="AD56" s="4">
        <v>0.84</v>
      </c>
      <c r="AE56">
        <f t="shared" si="17"/>
        <v>2.625</v>
      </c>
      <c r="AF56">
        <v>0.77709099999999998</v>
      </c>
      <c r="AM56" s="7">
        <v>2.625</v>
      </c>
      <c r="AN56">
        <v>0.75963199999999997</v>
      </c>
      <c r="AP56">
        <v>2.6250000000000004</v>
      </c>
      <c r="AQ56">
        <v>0.79918</v>
      </c>
    </row>
    <row r="57" spans="1:43" ht="15" x14ac:dyDescent="0.35">
      <c r="A57" s="5">
        <f t="shared" si="19"/>
        <v>0.62039999999999995</v>
      </c>
      <c r="B57" s="6">
        <f t="shared" si="20"/>
        <v>2.75</v>
      </c>
      <c r="C57" s="6">
        <v>0.78846499999999997</v>
      </c>
      <c r="D57" s="6"/>
      <c r="E57" s="7">
        <v>0.64859999999999995</v>
      </c>
      <c r="F57">
        <f t="shared" si="13"/>
        <v>2.875</v>
      </c>
      <c r="G57">
        <v>0.82033400000000001</v>
      </c>
      <c r="I57" s="4">
        <v>0.62039999999999995</v>
      </c>
      <c r="J57">
        <f t="shared" si="14"/>
        <v>2.75</v>
      </c>
      <c r="K57">
        <v>0.77804499999999999</v>
      </c>
      <c r="M57">
        <v>0.62039999999999995</v>
      </c>
      <c r="N57">
        <f t="shared" si="15"/>
        <v>2.75</v>
      </c>
      <c r="O57">
        <v>0.76842999999999995</v>
      </c>
      <c r="Q57" s="4">
        <v>0.64859999999999995</v>
      </c>
      <c r="R57">
        <f t="shared" si="21"/>
        <v>2.875</v>
      </c>
      <c r="S57">
        <v>0.82772299999999999</v>
      </c>
      <c r="V57" s="4">
        <v>0.9600000000000003</v>
      </c>
      <c r="W57">
        <f t="shared" si="12"/>
        <v>3.0000000000000009</v>
      </c>
      <c r="X57">
        <v>0.92846799999999996</v>
      </c>
      <c r="Z57" s="4">
        <v>0.92</v>
      </c>
      <c r="AA57">
        <f t="shared" si="16"/>
        <v>2.875</v>
      </c>
      <c r="AB57">
        <v>0.86082199999999998</v>
      </c>
      <c r="AD57" s="4">
        <v>0.88</v>
      </c>
      <c r="AE57">
        <f t="shared" si="17"/>
        <v>2.75</v>
      </c>
      <c r="AF57">
        <v>0.81567999999999996</v>
      </c>
      <c r="AM57" s="7">
        <v>2.75</v>
      </c>
      <c r="AN57">
        <v>0.79546499999999998</v>
      </c>
      <c r="AP57">
        <v>2.7500000000000004</v>
      </c>
      <c r="AQ57">
        <v>0.84105200000000002</v>
      </c>
    </row>
    <row r="58" spans="1:43" ht="15" x14ac:dyDescent="0.35">
      <c r="A58" s="5">
        <f t="shared" si="19"/>
        <v>0.64859999999999995</v>
      </c>
      <c r="B58" s="6">
        <f t="shared" si="20"/>
        <v>2.875</v>
      </c>
      <c r="C58" s="6">
        <v>0.82552599999999998</v>
      </c>
      <c r="D58" s="6"/>
      <c r="E58" s="7">
        <v>0.67679999999999996</v>
      </c>
      <c r="F58">
        <f t="shared" si="13"/>
        <v>3</v>
      </c>
      <c r="G58">
        <v>0.86103099999999999</v>
      </c>
      <c r="I58" s="4">
        <v>0.64859999999999995</v>
      </c>
      <c r="J58">
        <f>I58/0.2256</f>
        <v>2.875</v>
      </c>
      <c r="K58">
        <v>0.81484800000000002</v>
      </c>
      <c r="M58">
        <v>0.64859999999999995</v>
      </c>
      <c r="N58">
        <f t="shared" si="15"/>
        <v>2.875</v>
      </c>
      <c r="O58">
        <v>0.80397399999999997</v>
      </c>
      <c r="Q58" s="4">
        <v>0.67679999999999996</v>
      </c>
      <c r="R58">
        <f t="shared" si="21"/>
        <v>3</v>
      </c>
      <c r="S58">
        <v>0.87431499999999995</v>
      </c>
      <c r="V58" s="4">
        <v>1.0000000000000002</v>
      </c>
      <c r="W58">
        <f t="shared" si="12"/>
        <v>3.1250000000000004</v>
      </c>
      <c r="X58">
        <v>0.98129900000000003</v>
      </c>
      <c r="Z58" s="4">
        <v>0.96</v>
      </c>
      <c r="AA58">
        <f t="shared" si="16"/>
        <v>3</v>
      </c>
      <c r="AB58">
        <v>0.90468899999999997</v>
      </c>
      <c r="AD58" s="4">
        <v>0.92</v>
      </c>
      <c r="AE58">
        <f t="shared" si="17"/>
        <v>2.875</v>
      </c>
      <c r="AF58">
        <v>0.85562300000000002</v>
      </c>
      <c r="AM58" s="7">
        <v>2.875</v>
      </c>
      <c r="AN58">
        <v>0.83295399999999997</v>
      </c>
      <c r="AP58">
        <v>2.8750000000000009</v>
      </c>
      <c r="AQ58">
        <v>0.88681600000000005</v>
      </c>
    </row>
    <row r="59" spans="1:43" ht="15" x14ac:dyDescent="0.35">
      <c r="A59" s="5">
        <f t="shared" si="19"/>
        <v>0.67679999999999996</v>
      </c>
      <c r="B59" s="6">
        <f t="shared" si="20"/>
        <v>3</v>
      </c>
      <c r="C59" s="6">
        <v>0.86528000000000005</v>
      </c>
      <c r="D59" s="6"/>
      <c r="E59" s="4">
        <v>0.70499999999999996</v>
      </c>
      <c r="F59">
        <f t="shared" si="13"/>
        <v>3.125</v>
      </c>
      <c r="G59">
        <v>0.90852100000000002</v>
      </c>
      <c r="I59" s="4">
        <v>0.67679999999999996</v>
      </c>
      <c r="J59">
        <f t="shared" si="14"/>
        <v>3</v>
      </c>
      <c r="K59">
        <v>0.85367899999999997</v>
      </c>
      <c r="M59">
        <v>0.67679999999999996</v>
      </c>
      <c r="N59">
        <f t="shared" si="15"/>
        <v>3</v>
      </c>
      <c r="O59">
        <v>0.84067400000000003</v>
      </c>
      <c r="Q59" s="4">
        <v>0.70499999999999996</v>
      </c>
      <c r="R59">
        <f t="shared" si="21"/>
        <v>3.125</v>
      </c>
      <c r="S59">
        <v>0.92361099999999996</v>
      </c>
      <c r="V59" s="4">
        <v>1.0400000000000003</v>
      </c>
      <c r="W59">
        <f t="shared" si="12"/>
        <v>3.2500000000000009</v>
      </c>
      <c r="X59">
        <v>1.0416399999999999</v>
      </c>
      <c r="Z59" s="4">
        <v>1</v>
      </c>
      <c r="AA59">
        <f t="shared" si="16"/>
        <v>3.125</v>
      </c>
      <c r="AB59">
        <v>0.95259199999999999</v>
      </c>
      <c r="AD59" s="4">
        <v>0.96</v>
      </c>
      <c r="AE59">
        <f t="shared" si="17"/>
        <v>3</v>
      </c>
      <c r="AF59">
        <v>0.89757399999999998</v>
      </c>
      <c r="AM59" s="7">
        <v>3</v>
      </c>
      <c r="AN59">
        <v>0.87215500000000001</v>
      </c>
      <c r="AP59">
        <v>3.0000000000000009</v>
      </c>
      <c r="AQ59">
        <v>0.93842800000000004</v>
      </c>
    </row>
    <row r="60" spans="1:43" ht="15" x14ac:dyDescent="0.35">
      <c r="A60" s="5">
        <f t="shared" si="19"/>
        <v>0.70499999999999996</v>
      </c>
      <c r="B60" s="6">
        <f t="shared" si="20"/>
        <v>3.125</v>
      </c>
      <c r="C60" s="6">
        <v>0.90941499999999997</v>
      </c>
      <c r="D60" s="6"/>
      <c r="E60" s="4">
        <v>0.73319999999999996</v>
      </c>
      <c r="F60">
        <f t="shared" si="13"/>
        <v>3.25</v>
      </c>
      <c r="G60">
        <v>0.96356900000000001</v>
      </c>
      <c r="I60" s="4">
        <v>0.70499999999999996</v>
      </c>
      <c r="J60">
        <f t="shared" si="14"/>
        <v>3.125</v>
      </c>
      <c r="K60">
        <v>0.89554199999999995</v>
      </c>
      <c r="M60">
        <v>0.70499999999999996</v>
      </c>
      <c r="N60">
        <f t="shared" si="15"/>
        <v>3.125</v>
      </c>
      <c r="O60">
        <v>0.87904199999999999</v>
      </c>
      <c r="Q60" s="4">
        <v>0.73319999999999996</v>
      </c>
      <c r="R60">
        <f t="shared" si="21"/>
        <v>3.25</v>
      </c>
      <c r="S60">
        <v>0.97895200000000004</v>
      </c>
      <c r="V60" s="4">
        <v>1.0800000000000003</v>
      </c>
      <c r="W60">
        <f t="shared" si="12"/>
        <v>3.3750000000000009</v>
      </c>
      <c r="X60">
        <v>1.11022</v>
      </c>
      <c r="Z60" s="4">
        <v>1.04</v>
      </c>
      <c r="AA60">
        <f t="shared" si="16"/>
        <v>3.25</v>
      </c>
      <c r="AB60">
        <v>1.0059400000000001</v>
      </c>
      <c r="AD60" s="4">
        <v>1</v>
      </c>
      <c r="AE60">
        <f t="shared" si="17"/>
        <v>3.125</v>
      </c>
      <c r="AF60">
        <v>0.94236799999999998</v>
      </c>
      <c r="AM60" s="4">
        <v>3.125</v>
      </c>
      <c r="AN60">
        <v>0.91303999999999996</v>
      </c>
      <c r="AP60">
        <v>3.1250000000000004</v>
      </c>
      <c r="AQ60">
        <v>0.99787599999999999</v>
      </c>
    </row>
    <row r="61" spans="1:43" ht="15" x14ac:dyDescent="0.35">
      <c r="A61" s="5">
        <f t="shared" si="19"/>
        <v>0.73319999999999996</v>
      </c>
      <c r="B61" s="6">
        <f t="shared" si="20"/>
        <v>3.25</v>
      </c>
      <c r="C61" s="6">
        <v>0.95670299999999997</v>
      </c>
      <c r="D61" s="6"/>
      <c r="E61" s="6">
        <f>E60+0.0282</f>
        <v>0.76139999999999997</v>
      </c>
      <c r="F61">
        <f t="shared" si="13"/>
        <v>3.375</v>
      </c>
      <c r="G61">
        <v>1.02319</v>
      </c>
      <c r="I61" s="4">
        <v>0.73319999999999996</v>
      </c>
      <c r="J61">
        <f t="shared" si="14"/>
        <v>3.25</v>
      </c>
      <c r="K61">
        <v>0.94182900000000003</v>
      </c>
      <c r="M61">
        <v>0.73319999999999996</v>
      </c>
      <c r="N61">
        <f t="shared" si="15"/>
        <v>3.25</v>
      </c>
      <c r="O61">
        <v>0.91953799999999997</v>
      </c>
      <c r="Q61" s="4">
        <v>0.76139999999999997</v>
      </c>
      <c r="R61">
        <f t="shared" si="21"/>
        <v>3.375</v>
      </c>
      <c r="S61">
        <v>1.03596</v>
      </c>
      <c r="V61" s="4">
        <v>1.1200000000000003</v>
      </c>
      <c r="W61">
        <f t="shared" si="12"/>
        <v>3.5000000000000009</v>
      </c>
      <c r="X61">
        <v>1.18377</v>
      </c>
      <c r="Z61" s="4">
        <v>1.08</v>
      </c>
      <c r="AA61">
        <f t="shared" si="16"/>
        <v>3.375</v>
      </c>
      <c r="AB61">
        <v>1.0659000000000001</v>
      </c>
      <c r="AD61" s="4">
        <v>1.04</v>
      </c>
      <c r="AE61">
        <f t="shared" si="17"/>
        <v>3.25</v>
      </c>
      <c r="AF61">
        <v>0.99091899999999999</v>
      </c>
      <c r="AM61" s="4">
        <v>3.25</v>
      </c>
      <c r="AN61">
        <v>0.95598000000000005</v>
      </c>
      <c r="AP61">
        <v>3.2500000000000009</v>
      </c>
      <c r="AQ61">
        <v>1.06419</v>
      </c>
    </row>
    <row r="62" spans="1:43" ht="15" x14ac:dyDescent="0.35">
      <c r="A62" s="5">
        <f t="shared" si="19"/>
        <v>0.76139999999999997</v>
      </c>
      <c r="B62" s="6">
        <f t="shared" si="20"/>
        <v>3.375</v>
      </c>
      <c r="C62" s="6">
        <v>1.0036400000000001</v>
      </c>
      <c r="D62" s="6"/>
      <c r="E62" s="6">
        <f>E61+0.0282</f>
        <v>0.78959999999999997</v>
      </c>
      <c r="F62">
        <f t="shared" si="13"/>
        <v>3.5</v>
      </c>
      <c r="G62" s="6">
        <v>1.0608599999999999</v>
      </c>
      <c r="I62">
        <f>I61+0.0282</f>
        <v>0.76139999999999997</v>
      </c>
      <c r="J62">
        <f t="shared" si="14"/>
        <v>3.375</v>
      </c>
      <c r="K62">
        <v>0.99371100000000001</v>
      </c>
      <c r="M62">
        <f>M61+0.0282</f>
        <v>0.76139999999999997</v>
      </c>
      <c r="N62">
        <f t="shared" si="15"/>
        <v>3.375</v>
      </c>
      <c r="O62">
        <v>0.961982</v>
      </c>
      <c r="Q62" s="4">
        <v>0.78959999999999997</v>
      </c>
      <c r="R62">
        <f t="shared" si="21"/>
        <v>3.5</v>
      </c>
      <c r="S62">
        <v>1.09172</v>
      </c>
      <c r="V62" s="4"/>
      <c r="Z62" s="4">
        <v>1.1200000000000001</v>
      </c>
      <c r="AA62">
        <f t="shared" si="16"/>
        <v>3.5000000000000004</v>
      </c>
      <c r="AB62">
        <v>1.13253</v>
      </c>
      <c r="AD62" s="4">
        <v>1.08</v>
      </c>
      <c r="AE62">
        <f t="shared" si="17"/>
        <v>3.375</v>
      </c>
      <c r="AF62">
        <v>1.0439400000000001</v>
      </c>
      <c r="AM62">
        <v>3.375</v>
      </c>
      <c r="AN62">
        <v>1.0107200000000001</v>
      </c>
      <c r="AP62">
        <v>3.3750000000000009</v>
      </c>
      <c r="AQ62">
        <v>1.1315200000000001</v>
      </c>
    </row>
    <row r="63" spans="1:43" ht="15" x14ac:dyDescent="0.35">
      <c r="A63" s="5">
        <f t="shared" si="19"/>
        <v>0.78959999999999997</v>
      </c>
      <c r="B63" s="6">
        <f t="shared" si="20"/>
        <v>3.5</v>
      </c>
      <c r="C63">
        <v>1.0831900000000001</v>
      </c>
      <c r="D63" s="6"/>
      <c r="E63" s="6"/>
      <c r="I63">
        <f>I62+0.0282</f>
        <v>0.78959999999999997</v>
      </c>
      <c r="J63">
        <f t="shared" si="14"/>
        <v>3.5</v>
      </c>
      <c r="K63">
        <v>1.0509299999999999</v>
      </c>
      <c r="M63">
        <f>M62+0.0282</f>
        <v>0.78959999999999997</v>
      </c>
      <c r="N63">
        <f t="shared" si="15"/>
        <v>3.5</v>
      </c>
      <c r="O63">
        <v>1.0055499999999999</v>
      </c>
      <c r="V63" s="4"/>
      <c r="Z63" s="4"/>
      <c r="AD63" s="4">
        <v>1.1200000000000001</v>
      </c>
      <c r="AE63">
        <f t="shared" si="17"/>
        <v>3.5000000000000004</v>
      </c>
      <c r="AF63">
        <v>1.1014900000000001</v>
      </c>
      <c r="AM63">
        <v>3.5</v>
      </c>
      <c r="AN63" s="4">
        <v>1.06132</v>
      </c>
      <c r="AP63">
        <v>3.5000000000000009</v>
      </c>
      <c r="AQ63">
        <v>1.2025600000000001</v>
      </c>
    </row>
    <row r="64" spans="1:43" ht="15" x14ac:dyDescent="0.35">
      <c r="A64" s="6"/>
      <c r="B64" s="6"/>
      <c r="C64" s="6"/>
      <c r="D64" s="6"/>
      <c r="E64" s="6"/>
      <c r="Z64" s="4"/>
      <c r="AD64" s="4"/>
    </row>
    <row r="65" spans="1:30" ht="15" x14ac:dyDescent="0.35">
      <c r="A65" s="6"/>
      <c r="B65" s="6"/>
      <c r="C65" s="6"/>
      <c r="D65" s="6"/>
      <c r="E65" s="6"/>
      <c r="AD65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2025-08-30T13:28:56Z</dcterms:created>
  <dcterms:modified xsi:type="dcterms:W3CDTF">2025-11-03T10:41:35Z</dcterms:modified>
</cp:coreProperties>
</file>