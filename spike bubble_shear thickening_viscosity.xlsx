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r\Downloads\"/>
    </mc:Choice>
  </mc:AlternateContent>
  <xr:revisionPtr revIDLastSave="0" documentId="13_ncr:1_{A47AC26B-8046-43A1-94DE-B76774A89E77}" xr6:coauthVersionLast="47" xr6:coauthVersionMax="47" xr10:uidLastSave="{00000000-0000-0000-0000-000000000000}"/>
  <bookViews>
    <workbookView xWindow="-108" yWindow="-108" windowWidth="23256" windowHeight="12456" xr2:uid="{AC01C8D0-6B61-45BA-8EBD-3EE062569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1" l="1"/>
  <c r="V1" i="1"/>
  <c r="X1" i="1"/>
  <c r="AA1" i="1"/>
  <c r="N1" i="1" l="1"/>
  <c r="AB63" i="1"/>
  <c r="N33" i="1"/>
  <c r="K33" i="1"/>
  <c r="Q33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H33" i="1"/>
  <c r="AG33" i="1"/>
  <c r="F33" i="1"/>
  <c r="AA33" i="1"/>
  <c r="X33" i="1"/>
  <c r="C33" i="1"/>
  <c r="A33" i="1"/>
  <c r="K1" i="1"/>
  <c r="G1" i="1"/>
  <c r="E1" i="1"/>
  <c r="C1" i="1"/>
  <c r="A1" i="1"/>
  <c r="AB62" i="1" l="1"/>
  <c r="AB61" i="1"/>
  <c r="AB60" i="1"/>
  <c r="AB59" i="1"/>
  <c r="AB58" i="1"/>
  <c r="AB57" i="1"/>
  <c r="AB56" i="1"/>
  <c r="AB55" i="1"/>
  <c r="AB54" i="1"/>
  <c r="AB53" i="1"/>
  <c r="AB52" i="1"/>
  <c r="AB51" i="1"/>
  <c r="AG50" i="1"/>
  <c r="AB50" i="1"/>
  <c r="AG49" i="1"/>
  <c r="AB49" i="1"/>
  <c r="AG48" i="1"/>
  <c r="AB48" i="1"/>
  <c r="AG47" i="1"/>
  <c r="AB47" i="1"/>
  <c r="AG46" i="1"/>
  <c r="AB46" i="1"/>
  <c r="AG45" i="1"/>
  <c r="AB45" i="1"/>
  <c r="AG44" i="1"/>
  <c r="AB44" i="1"/>
  <c r="AG43" i="1"/>
  <c r="AB43" i="1"/>
  <c r="AG42" i="1"/>
  <c r="AB42" i="1"/>
  <c r="AG41" i="1"/>
  <c r="AB41" i="1"/>
  <c r="AG40" i="1"/>
  <c r="AB40" i="1"/>
  <c r="AG39" i="1"/>
  <c r="AB39" i="1"/>
  <c r="AG38" i="1"/>
  <c r="AB38" i="1"/>
  <c r="AG37" i="1"/>
  <c r="AB37" i="1"/>
  <c r="AG36" i="1"/>
  <c r="AB36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Y31" i="1"/>
  <c r="Y30" i="1"/>
  <c r="V30" i="1"/>
  <c r="Y29" i="1"/>
  <c r="V29" i="1"/>
  <c r="Y28" i="1"/>
  <c r="V28" i="1"/>
  <c r="Y27" i="1"/>
  <c r="V27" i="1"/>
  <c r="Y26" i="1"/>
  <c r="V26" i="1"/>
  <c r="Y25" i="1"/>
  <c r="V25" i="1"/>
  <c r="Y24" i="1"/>
  <c r="V24" i="1"/>
  <c r="Y23" i="1"/>
  <c r="V23" i="1"/>
  <c r="Y22" i="1"/>
  <c r="V22" i="1"/>
  <c r="Y21" i="1"/>
  <c r="V21" i="1"/>
  <c r="Y20" i="1"/>
  <c r="V20" i="1"/>
  <c r="Y19" i="1"/>
  <c r="V19" i="1"/>
  <c r="AB18" i="1"/>
  <c r="Y18" i="1"/>
  <c r="V18" i="1"/>
  <c r="AB17" i="1"/>
  <c r="Y17" i="1"/>
  <c r="V17" i="1"/>
  <c r="AB16" i="1"/>
  <c r="Y16" i="1"/>
  <c r="V16" i="1"/>
  <c r="AB15" i="1"/>
  <c r="Y15" i="1"/>
  <c r="V15" i="1"/>
  <c r="AB14" i="1"/>
  <c r="Y14" i="1"/>
  <c r="V14" i="1"/>
  <c r="AB13" i="1"/>
  <c r="Y13" i="1"/>
  <c r="V13" i="1"/>
  <c r="AB12" i="1"/>
  <c r="Y12" i="1"/>
  <c r="V12" i="1"/>
  <c r="AB11" i="1"/>
  <c r="Y11" i="1"/>
  <c r="V11" i="1"/>
  <c r="AB10" i="1"/>
  <c r="Y10" i="1"/>
  <c r="V10" i="1"/>
  <c r="AB9" i="1"/>
  <c r="Y9" i="1"/>
  <c r="V9" i="1"/>
  <c r="AB8" i="1"/>
  <c r="Y8" i="1"/>
  <c r="V8" i="1"/>
  <c r="AB7" i="1"/>
  <c r="Y7" i="1"/>
  <c r="V7" i="1"/>
  <c r="AB6" i="1"/>
  <c r="Y6" i="1"/>
  <c r="V6" i="1"/>
  <c r="AB5" i="1"/>
  <c r="Y5" i="1"/>
  <c r="V5" i="1"/>
  <c r="AB4" i="1"/>
  <c r="Y4" i="1"/>
  <c r="V4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H62" i="1" l="1"/>
  <c r="H63" i="1" s="1"/>
  <c r="I63" i="1" s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E62" i="1"/>
  <c r="E63" i="1" s="1"/>
  <c r="F63" i="1" s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I62" i="1" l="1"/>
  <c r="F62" i="1"/>
</calcChain>
</file>

<file path=xl/sharedStrings.xml><?xml version="1.0" encoding="utf-8"?>
<sst xmlns="http://schemas.openxmlformats.org/spreadsheetml/2006/main" count="58" uniqueCount="6">
  <si>
    <t>t(s)</t>
  </si>
  <si>
    <t>T_dim</t>
  </si>
  <si>
    <t>1.5n</t>
  </si>
  <si>
    <t>t_dim</t>
  </si>
  <si>
    <t>BUBBLE</t>
  </si>
  <si>
    <t>nu*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</si>
</sst>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1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B335-EF93-4673-A1CB-CF5010343683}">
  <dimension ref="A1:AV65"/>
  <sheetViews>
    <sheetView tabSelected="1" zoomScale="43" zoomScaleNormal="175" workbookViewId="0"/>
  </sheetViews>
  <sheetFormatPr defaultRowHeight="14.4" x14ac:dyDescent="0.3"/>
  <cols>
    <col min="1" max="2" width="9.21875" bestFit="1" customWidth="1"/>
    <col min="3" max="3" width="9.88671875" bestFit="1" customWidth="1"/>
    <col min="4" max="6" width="9.21875" bestFit="1" customWidth="1"/>
    <col min="7" max="7" width="12.77734375" bestFit="1" customWidth="1"/>
    <col min="8" max="8" width="9.21875" bestFit="1" customWidth="1"/>
    <col min="9" max="9" width="12.77734375" bestFit="1" customWidth="1"/>
    <col min="10" max="10" width="9.88671875" bestFit="1" customWidth="1"/>
    <col min="11" max="11" width="9.21875" bestFit="1" customWidth="1"/>
    <col min="12" max="12" width="10.109375" bestFit="1" customWidth="1"/>
    <col min="13" max="13" width="12.5546875" bestFit="1" customWidth="1"/>
    <col min="14" max="14" width="10.109375" bestFit="1" customWidth="1"/>
    <col min="15" max="16" width="9.21875" bestFit="1" customWidth="1"/>
    <col min="17" max="17" width="16.44140625" bestFit="1" customWidth="1"/>
    <col min="18" max="20" width="9.44140625" bestFit="1" customWidth="1"/>
    <col min="21" max="21" width="11.6640625" bestFit="1" customWidth="1"/>
    <col min="22" max="23" width="9.44140625" bestFit="1" customWidth="1"/>
    <col min="24" max="24" width="11.5546875" bestFit="1" customWidth="1"/>
    <col min="25" max="26" width="9.5546875" bestFit="1" customWidth="1"/>
    <col min="27" max="28" width="11.77734375" bestFit="1" customWidth="1"/>
    <col min="29" max="29" width="9.44140625" bestFit="1" customWidth="1"/>
    <col min="30" max="30" width="12.5546875" bestFit="1" customWidth="1"/>
    <col min="31" max="33" width="9.33203125" bestFit="1" customWidth="1"/>
    <col min="34" max="34" width="9.44140625" bestFit="1" customWidth="1"/>
    <col min="35" max="36" width="9" bestFit="1" customWidth="1"/>
    <col min="37" max="38" width="9.21875" bestFit="1" customWidth="1"/>
    <col min="39" max="39" width="13.109375" bestFit="1" customWidth="1"/>
    <col min="40" max="42" width="9.21875" bestFit="1" customWidth="1"/>
    <col min="43" max="44" width="9.6640625" bestFit="1" customWidth="1"/>
    <col min="45" max="45" width="14.44140625" bestFit="1" customWidth="1"/>
    <col min="46" max="46" width="9.6640625" bestFit="1" customWidth="1"/>
    <col min="47" max="47" width="12.21875" bestFit="1" customWidth="1"/>
    <col min="48" max="48" width="9.6640625" bestFit="1" customWidth="1"/>
    <col min="49" max="49" width="11.88671875" bestFit="1" customWidth="1"/>
    <col min="50" max="51" width="9" bestFit="1" customWidth="1"/>
    <col min="52" max="53" width="9.33203125" bestFit="1" customWidth="1"/>
    <col min="54" max="54" width="14.21875" bestFit="1" customWidth="1"/>
    <col min="55" max="55" width="9.88671875" bestFit="1" customWidth="1"/>
    <col min="56" max="57" width="9.21875" bestFit="1" customWidth="1"/>
    <col min="58" max="60" width="9.109375" bestFit="1" customWidth="1"/>
    <col min="61" max="61" width="12.44140625" bestFit="1" customWidth="1"/>
    <col min="62" max="62" width="9.109375" bestFit="1" customWidth="1"/>
    <col min="63" max="63" width="12.44140625" bestFit="1" customWidth="1"/>
    <col min="64" max="67" width="9.109375" bestFit="1" customWidth="1"/>
    <col min="68" max="68" width="12.44140625" bestFit="1" customWidth="1"/>
    <col min="69" max="71" width="9.109375" bestFit="1" customWidth="1"/>
    <col min="72" max="72" width="12.44140625" bestFit="1" customWidth="1"/>
    <col min="73" max="76" width="9" bestFit="1" customWidth="1"/>
  </cols>
  <sheetData>
    <row r="1" spans="1:45" ht="15" x14ac:dyDescent="0.35">
      <c r="A1" s="5" t="str">
        <f>"A"&amp;_xlfn.UNICHAR(8348)&amp;" = 0.4, n = 1.2, K"&amp;_xlfn.UNICHAR(8321)</f>
        <v>Aₜ = 0.4, n = 1.2, K₁</v>
      </c>
      <c r="B1" s="2"/>
      <c r="C1" s="5" t="str">
        <f>"A"&amp;_xlfn.UNICHAR(8348)&amp;" = 0.4, n = 1.3, K"&amp;_xlfn.UNICHAR(8321)</f>
        <v>Aₜ = 0.4, n = 1.3, K₁</v>
      </c>
      <c r="D1" s="3"/>
      <c r="E1" s="5" t="str">
        <f>"A"&amp;_xlfn.UNICHAR(8348)&amp;" = 0.4, n = 1.4, K"&amp;_xlfn.UNICHAR(8321)</f>
        <v>Aₜ = 0.4, n = 1.4, K₁</v>
      </c>
      <c r="G1" s="5" t="str">
        <f>"A"&amp;_xlfn.UNICHAR(8348)&amp;" = 0.4, n = 1.5, K"&amp;_xlfn.UNICHAR(8321)</f>
        <v>Aₜ = 0.4, n = 1.5, K₁</v>
      </c>
      <c r="K1" s="5" t="str">
        <f>"A"&amp;_xlfn.UNICHAR(8348)&amp;" = 0.4, n = 1.2, K"&amp;_xlfn.UNICHAR(8322)</f>
        <v>Aₜ = 0.4, n = 1.2, K₂</v>
      </c>
      <c r="L1" s="5"/>
      <c r="N1" s="5" t="str">
        <f>"A"&amp;_xlfn.UNICHAR(8348)&amp;" = 0.2, n = 1.2, K"&amp;_xlfn.UNICHAR(8322)</f>
        <v>Aₜ = 0.2, n = 1.2, K₂</v>
      </c>
      <c r="P1" s="5"/>
      <c r="Q1" s="5" t="str">
        <f>"A"&amp;_xlfn.UNICHAR(8348)&amp;" = 0.2, n = 1.2, K"&amp;_xlfn.UNICHAR(8321)</f>
        <v>Aₜ = 0.2, n = 1.2, K₁</v>
      </c>
      <c r="S1" s="4"/>
      <c r="V1" s="5" t="str">
        <f>"A"&amp;_xlfn.UNICHAR(8348)&amp;" = 0.2, n = 1.3, K"&amp;_xlfn.UNICHAR(8321)</f>
        <v>Aₜ = 0.2, n = 1.3, K₁</v>
      </c>
      <c r="X1" s="5" t="str">
        <f>"A"&amp;_xlfn.UNICHAR(8348)&amp;" = 0.2, n = 1.4, K"&amp;_xlfn.UNICHAR(8321)</f>
        <v>Aₜ = 0.2, n = 1.4, K₁</v>
      </c>
      <c r="Z1" s="4"/>
      <c r="AA1" s="5" t="str">
        <f>"A"&amp;_xlfn.UNICHAR(8348)&amp;" = 0.2, n = 1.5, K"&amp;_xlfn.UNICHAR(8321)</f>
        <v>Aₜ = 0.2, n = 1.5, K₁</v>
      </c>
      <c r="AE1" s="3"/>
      <c r="AF1" s="3"/>
      <c r="AG1" s="3"/>
      <c r="AH1" s="3"/>
      <c r="AK1" s="4"/>
      <c r="AL1" s="4"/>
      <c r="AM1" s="4"/>
      <c r="AN1" s="4"/>
      <c r="AO1" s="4"/>
      <c r="AS1" t="s">
        <v>2</v>
      </c>
    </row>
    <row r="2" spans="1:45" x14ac:dyDescent="0.3">
      <c r="A2" t="s">
        <v>1</v>
      </c>
      <c r="B2" t="s">
        <v>5</v>
      </c>
      <c r="C2" t="s">
        <v>3</v>
      </c>
      <c r="D2" t="s">
        <v>5</v>
      </c>
      <c r="E2" t="s">
        <v>3</v>
      </c>
      <c r="F2" t="s">
        <v>5</v>
      </c>
      <c r="G2" t="s">
        <v>3</v>
      </c>
      <c r="H2" t="s">
        <v>5</v>
      </c>
      <c r="K2" t="s">
        <v>3</v>
      </c>
      <c r="L2" t="s">
        <v>5</v>
      </c>
      <c r="N2" t="s">
        <v>3</v>
      </c>
      <c r="O2" t="s">
        <v>5</v>
      </c>
      <c r="P2" t="s">
        <v>0</v>
      </c>
      <c r="Q2" t="s">
        <v>3</v>
      </c>
      <c r="R2" t="s">
        <v>5</v>
      </c>
      <c r="U2" t="s">
        <v>0</v>
      </c>
      <c r="V2" t="s">
        <v>3</v>
      </c>
      <c r="W2" t="s">
        <v>5</v>
      </c>
      <c r="X2" t="s">
        <v>0</v>
      </c>
      <c r="Y2" t="s">
        <v>3</v>
      </c>
      <c r="Z2" t="s">
        <v>5</v>
      </c>
      <c r="AA2" t="s">
        <v>0</v>
      </c>
      <c r="AB2" t="s">
        <v>3</v>
      </c>
      <c r="AC2" t="s">
        <v>5</v>
      </c>
    </row>
    <row r="3" spans="1:45" ht="15" x14ac:dyDescent="0.35">
      <c r="A3">
        <v>0</v>
      </c>
      <c r="B3" s="1">
        <v>1</v>
      </c>
      <c r="C3">
        <v>0</v>
      </c>
      <c r="D3" s="1">
        <v>1</v>
      </c>
      <c r="E3">
        <v>0</v>
      </c>
      <c r="F3" s="1">
        <v>1</v>
      </c>
      <c r="G3">
        <v>0</v>
      </c>
      <c r="H3" s="1">
        <v>1</v>
      </c>
      <c r="K3">
        <v>0</v>
      </c>
      <c r="L3" s="1">
        <v>1</v>
      </c>
      <c r="N3">
        <v>0</v>
      </c>
      <c r="O3" s="1">
        <v>1</v>
      </c>
      <c r="P3">
        <v>0</v>
      </c>
      <c r="Q3">
        <v>0</v>
      </c>
      <c r="R3">
        <v>1</v>
      </c>
      <c r="U3" s="5">
        <v>0</v>
      </c>
      <c r="V3">
        <v>0</v>
      </c>
      <c r="W3">
        <v>1</v>
      </c>
      <c r="X3" s="5">
        <v>0</v>
      </c>
      <c r="Y3">
        <v>0</v>
      </c>
      <c r="Z3">
        <v>1</v>
      </c>
      <c r="AA3">
        <v>0</v>
      </c>
      <c r="AB3">
        <v>0</v>
      </c>
      <c r="AC3">
        <v>1</v>
      </c>
    </row>
    <row r="4" spans="1:45" ht="15" x14ac:dyDescent="0.35">
      <c r="A4">
        <v>0.125</v>
      </c>
      <c r="B4" s="1">
        <v>1.08</v>
      </c>
      <c r="C4">
        <v>0.125</v>
      </c>
      <c r="D4" s="1">
        <v>1.2</v>
      </c>
      <c r="E4">
        <v>0.125</v>
      </c>
      <c r="F4" s="1">
        <v>1.2017698707414517</v>
      </c>
      <c r="G4">
        <v>0.125</v>
      </c>
      <c r="H4" s="1">
        <v>1.3604323340102664</v>
      </c>
      <c r="K4">
        <v>0.125</v>
      </c>
      <c r="L4" s="1">
        <v>1.1100000000000001</v>
      </c>
      <c r="N4">
        <v>0.125</v>
      </c>
      <c r="O4" s="1">
        <v>1.1100000000000001</v>
      </c>
      <c r="P4" s="5">
        <v>0.08</v>
      </c>
      <c r="Q4">
        <f t="shared" ref="Q4:Q29" si="0">P4/0.32</f>
        <v>0.25</v>
      </c>
      <c r="R4">
        <v>1.2181856115361323</v>
      </c>
      <c r="U4" s="5">
        <v>0.04</v>
      </c>
      <c r="V4">
        <f>U4/0.32</f>
        <v>0.125</v>
      </c>
      <c r="W4">
        <v>1.1622326870631701</v>
      </c>
      <c r="X4" s="5">
        <v>0.04</v>
      </c>
      <c r="Y4">
        <f>X4/0.32</f>
        <v>0.125</v>
      </c>
      <c r="Z4">
        <v>1.1687934288265123</v>
      </c>
      <c r="AA4" s="5">
        <v>0.08</v>
      </c>
      <c r="AB4">
        <f>AA4/0.32</f>
        <v>0.25</v>
      </c>
      <c r="AC4">
        <v>1.8309572936042691</v>
      </c>
    </row>
    <row r="5" spans="1:45" ht="15" x14ac:dyDescent="0.35">
      <c r="A5">
        <v>0.25</v>
      </c>
      <c r="B5" s="1">
        <v>1.2356824583103587</v>
      </c>
      <c r="C5">
        <v>0.25</v>
      </c>
      <c r="D5" s="1">
        <v>1.4351749616938951</v>
      </c>
      <c r="E5">
        <v>0.25</v>
      </c>
      <c r="F5" s="1">
        <v>1.6928385534856185</v>
      </c>
      <c r="G5">
        <v>0.25</v>
      </c>
      <c r="H5" s="1">
        <v>2.0308399705744087</v>
      </c>
      <c r="K5">
        <v>0.25</v>
      </c>
      <c r="L5" s="1">
        <v>1.2464047879962912</v>
      </c>
      <c r="N5">
        <v>0.25</v>
      </c>
      <c r="O5" s="1">
        <v>1.2268018207873219</v>
      </c>
      <c r="P5" s="5">
        <v>0.12</v>
      </c>
      <c r="Q5">
        <f t="shared" si="0"/>
        <v>0.375</v>
      </c>
      <c r="R5">
        <v>1.3732213571266967</v>
      </c>
      <c r="U5" s="5">
        <v>0.08</v>
      </c>
      <c r="V5">
        <f t="shared" ref="V5:V30" si="1">U5/0.32</f>
        <v>0.25</v>
      </c>
      <c r="W5">
        <v>1.3666642732407304</v>
      </c>
      <c r="X5" s="5">
        <v>0.08</v>
      </c>
      <c r="Y5">
        <f t="shared" ref="Y5:Y30" si="2">X5/0.32</f>
        <v>0.25</v>
      </c>
      <c r="Z5">
        <v>1.593872648967056</v>
      </c>
      <c r="AA5" s="5">
        <v>0.16</v>
      </c>
      <c r="AB5">
        <f t="shared" ref="AB5:AB18" si="3">AA5/0.32</f>
        <v>0.5</v>
      </c>
      <c r="AC5">
        <v>2.7670487567958619</v>
      </c>
    </row>
    <row r="6" spans="1:45" ht="15" x14ac:dyDescent="0.35">
      <c r="A6">
        <v>0.375</v>
      </c>
      <c r="B6" s="1">
        <v>1.4122251680930129</v>
      </c>
      <c r="C6">
        <v>0.375</v>
      </c>
      <c r="D6" s="1">
        <v>1.7247433728067978</v>
      </c>
      <c r="E6">
        <v>0.375</v>
      </c>
      <c r="F6" s="1">
        <v>2.1283969149191271</v>
      </c>
      <c r="G6">
        <v>0.375</v>
      </c>
      <c r="H6" s="1">
        <v>2.8403824243056466</v>
      </c>
      <c r="K6">
        <v>0.375</v>
      </c>
      <c r="L6" s="1">
        <v>1.4329575149624885</v>
      </c>
      <c r="N6">
        <v>0.375</v>
      </c>
      <c r="O6" s="1">
        <v>1.3875115906600353</v>
      </c>
      <c r="P6" s="5">
        <v>0.16</v>
      </c>
      <c r="Q6">
        <f t="shared" si="0"/>
        <v>0.5</v>
      </c>
      <c r="R6">
        <v>1.5013825421705844</v>
      </c>
      <c r="U6" s="5">
        <v>0.12</v>
      </c>
      <c r="V6">
        <f t="shared" si="1"/>
        <v>0.375</v>
      </c>
      <c r="W6">
        <v>1.6285818409419441</v>
      </c>
      <c r="X6" s="5">
        <v>0.12</v>
      </c>
      <c r="Y6">
        <f t="shared" si="2"/>
        <v>0.375</v>
      </c>
      <c r="Z6">
        <v>1.9856042203776283</v>
      </c>
      <c r="AA6" s="5">
        <v>0.24</v>
      </c>
      <c r="AB6">
        <f t="shared" si="3"/>
        <v>0.75</v>
      </c>
      <c r="AC6">
        <v>3.5006292903853371</v>
      </c>
    </row>
    <row r="7" spans="1:45" ht="15" x14ac:dyDescent="0.35">
      <c r="A7">
        <v>0.5</v>
      </c>
      <c r="B7" s="1">
        <v>1.5691481074548894</v>
      </c>
      <c r="C7">
        <v>0.5</v>
      </c>
      <c r="D7" s="1">
        <v>1.9959411108838108</v>
      </c>
      <c r="E7">
        <v>0.5</v>
      </c>
      <c r="F7" s="1">
        <v>2.5511391578482465</v>
      </c>
      <c r="G7">
        <v>0.5</v>
      </c>
      <c r="H7" s="1">
        <v>3.6731320778233734</v>
      </c>
      <c r="K7">
        <v>0.5</v>
      </c>
      <c r="L7" s="1">
        <v>1.62552115822305</v>
      </c>
      <c r="N7">
        <v>0.5</v>
      </c>
      <c r="O7" s="1">
        <v>1.5191983478040967</v>
      </c>
      <c r="P7" s="5">
        <v>0.2</v>
      </c>
      <c r="Q7">
        <f t="shared" si="0"/>
        <v>0.625</v>
      </c>
      <c r="R7">
        <v>1.6003348989951676</v>
      </c>
      <c r="U7" s="5">
        <v>0.16</v>
      </c>
      <c r="V7">
        <f t="shared" si="1"/>
        <v>0.5</v>
      </c>
      <c r="W7">
        <v>1.841158707170659</v>
      </c>
      <c r="X7" s="5">
        <v>0.16</v>
      </c>
      <c r="Y7">
        <f t="shared" si="2"/>
        <v>0.5</v>
      </c>
      <c r="Z7">
        <v>2.3495088283547818</v>
      </c>
      <c r="AA7" s="5">
        <v>0.32</v>
      </c>
      <c r="AB7">
        <f t="shared" si="3"/>
        <v>1</v>
      </c>
      <c r="AC7">
        <v>3.8867792118764508</v>
      </c>
    </row>
    <row r="8" spans="1:45" ht="15" x14ac:dyDescent="0.35">
      <c r="A8">
        <v>0.625</v>
      </c>
      <c r="B8" s="1">
        <v>1.6951145660741356</v>
      </c>
      <c r="C8">
        <v>0.625</v>
      </c>
      <c r="D8" s="1">
        <v>2.3609837251552226</v>
      </c>
      <c r="E8">
        <v>0.625</v>
      </c>
      <c r="F8" s="1">
        <v>2.9821861371866589</v>
      </c>
      <c r="G8">
        <v>0.625</v>
      </c>
      <c r="H8" s="1">
        <v>4.3398005508492368</v>
      </c>
      <c r="K8">
        <v>0.625</v>
      </c>
      <c r="L8" s="1">
        <v>1.7258408497007502</v>
      </c>
      <c r="N8">
        <v>0.625</v>
      </c>
      <c r="O8" s="1">
        <v>1.6137570597656579</v>
      </c>
      <c r="P8" s="5">
        <v>0.24000000000000002</v>
      </c>
      <c r="Q8">
        <f t="shared" si="0"/>
        <v>0.75</v>
      </c>
      <c r="R8">
        <v>1.6771232284696658</v>
      </c>
      <c r="U8" s="5">
        <v>0.24</v>
      </c>
      <c r="V8">
        <f t="shared" si="1"/>
        <v>0.75</v>
      </c>
      <c r="W8">
        <v>2.2364939651797169</v>
      </c>
      <c r="X8" s="5">
        <v>0.2</v>
      </c>
      <c r="Y8">
        <f t="shared" si="2"/>
        <v>0.625</v>
      </c>
      <c r="Z8">
        <v>2.6568924570504233</v>
      </c>
      <c r="AA8" s="5">
        <v>0.4</v>
      </c>
      <c r="AB8">
        <f t="shared" si="3"/>
        <v>1.25</v>
      </c>
      <c r="AC8">
        <v>3.9514152598515446</v>
      </c>
    </row>
    <row r="9" spans="1:45" ht="15" x14ac:dyDescent="0.35">
      <c r="A9">
        <v>0.75</v>
      </c>
      <c r="B9" s="1">
        <v>1.798442828054023</v>
      </c>
      <c r="C9">
        <v>0.75</v>
      </c>
      <c r="D9" s="1">
        <v>2.4232624743779239</v>
      </c>
      <c r="E9">
        <v>0.75</v>
      </c>
      <c r="F9" s="1">
        <v>3.2672702615924227</v>
      </c>
      <c r="G9">
        <v>0.75</v>
      </c>
      <c r="H9" s="1">
        <v>4.7362196243766368</v>
      </c>
      <c r="K9">
        <v>0.75</v>
      </c>
      <c r="L9" s="1">
        <v>1.82910983730928</v>
      </c>
      <c r="N9">
        <v>0.75</v>
      </c>
      <c r="O9" s="1">
        <v>1.6702857624546912</v>
      </c>
      <c r="P9" s="5">
        <v>0.28000000000000003</v>
      </c>
      <c r="Q9">
        <f t="shared" si="0"/>
        <v>0.87500000000000011</v>
      </c>
      <c r="R9">
        <v>1.7151109623875374</v>
      </c>
      <c r="U9" s="5">
        <v>0.28000000000000003</v>
      </c>
      <c r="V9">
        <f t="shared" si="1"/>
        <v>0.87500000000000011</v>
      </c>
      <c r="W9">
        <v>2.2401518425541198</v>
      </c>
      <c r="X9" s="5">
        <v>0.24</v>
      </c>
      <c r="Y9">
        <f t="shared" si="2"/>
        <v>0.75</v>
      </c>
      <c r="Z9">
        <v>2.8383909132906942</v>
      </c>
      <c r="AA9" s="5">
        <v>0.48</v>
      </c>
      <c r="AB9">
        <f t="shared" si="3"/>
        <v>1.5</v>
      </c>
      <c r="AC9">
        <v>3.7725586039372305</v>
      </c>
    </row>
    <row r="10" spans="1:45" ht="15" x14ac:dyDescent="0.35">
      <c r="A10">
        <v>0.875</v>
      </c>
      <c r="B10" s="1">
        <v>1.8335990939302267</v>
      </c>
      <c r="C10">
        <v>0.875</v>
      </c>
      <c r="D10" s="1">
        <v>2.5268752379313755</v>
      </c>
      <c r="E10">
        <v>0.875</v>
      </c>
      <c r="F10" s="1">
        <v>3.5301361678721861</v>
      </c>
      <c r="G10">
        <v>0.875</v>
      </c>
      <c r="H10" s="1">
        <v>4.7287954880759973</v>
      </c>
      <c r="K10">
        <v>0.875</v>
      </c>
      <c r="L10" s="1">
        <v>1.878863904577257</v>
      </c>
      <c r="N10">
        <v>0.87500000000000011</v>
      </c>
      <c r="O10" s="1">
        <v>1.6984194554497178</v>
      </c>
      <c r="P10" s="5">
        <v>0.32</v>
      </c>
      <c r="Q10">
        <f t="shared" si="0"/>
        <v>1</v>
      </c>
      <c r="R10">
        <v>1.7381149467643364</v>
      </c>
      <c r="U10" s="5">
        <v>0.32</v>
      </c>
      <c r="V10">
        <f t="shared" si="1"/>
        <v>1</v>
      </c>
      <c r="W10">
        <v>2.2820819554199581</v>
      </c>
      <c r="X10" s="5">
        <v>0.28000000000000003</v>
      </c>
      <c r="Y10">
        <f t="shared" si="2"/>
        <v>0.87500000000000011</v>
      </c>
      <c r="Z10">
        <v>2.9642489903581062</v>
      </c>
      <c r="AA10" s="5">
        <v>0.56000000000000005</v>
      </c>
      <c r="AB10">
        <f t="shared" si="3"/>
        <v>1.7500000000000002</v>
      </c>
      <c r="AC10">
        <v>3.5154504675986575</v>
      </c>
    </row>
    <row r="11" spans="1:45" ht="15" x14ac:dyDescent="0.35">
      <c r="A11">
        <v>1</v>
      </c>
      <c r="B11" s="1">
        <v>1.8590281155293154</v>
      </c>
      <c r="C11">
        <v>1</v>
      </c>
      <c r="D11" s="1">
        <v>2.6471456499031998</v>
      </c>
      <c r="E11">
        <v>1</v>
      </c>
      <c r="F11" s="1">
        <v>3.6147279690787433</v>
      </c>
      <c r="G11">
        <v>1</v>
      </c>
      <c r="H11" s="1">
        <v>4.8955405055728445</v>
      </c>
      <c r="K11">
        <v>1</v>
      </c>
      <c r="L11" s="1">
        <v>1.8733267301694343</v>
      </c>
      <c r="N11">
        <v>1</v>
      </c>
      <c r="O11" s="1">
        <v>1.7010241928685832</v>
      </c>
      <c r="P11" s="5">
        <v>0.36</v>
      </c>
      <c r="Q11">
        <f t="shared" si="0"/>
        <v>1.125</v>
      </c>
      <c r="R11">
        <v>1.7236189142065184</v>
      </c>
      <c r="U11" s="5">
        <v>0.36</v>
      </c>
      <c r="V11">
        <f t="shared" si="1"/>
        <v>1.125</v>
      </c>
      <c r="W11">
        <v>2.2888828977975511</v>
      </c>
      <c r="X11" s="5">
        <v>0.32</v>
      </c>
      <c r="Y11">
        <f t="shared" si="2"/>
        <v>1</v>
      </c>
      <c r="Z11">
        <v>3.0274218873834386</v>
      </c>
      <c r="AA11" s="5">
        <v>0.64</v>
      </c>
      <c r="AB11">
        <f t="shared" si="3"/>
        <v>2</v>
      </c>
      <c r="AC11">
        <v>3.3120724855818668</v>
      </c>
    </row>
    <row r="12" spans="1:45" ht="15" x14ac:dyDescent="0.35">
      <c r="A12">
        <v>1.1250000000000002</v>
      </c>
      <c r="B12" s="1">
        <v>1.8573617491698651</v>
      </c>
      <c r="C12">
        <v>1.1250000000000002</v>
      </c>
      <c r="D12" s="1">
        <v>2.5854825620856947</v>
      </c>
      <c r="E12">
        <v>1.1250000000000002</v>
      </c>
      <c r="F12" s="1">
        <v>3.6293323831883955</v>
      </c>
      <c r="G12">
        <v>1.1250000000000002</v>
      </c>
      <c r="H12" s="1">
        <v>4.9592146672754103</v>
      </c>
      <c r="K12">
        <v>1.1250000000000002</v>
      </c>
      <c r="L12" s="1">
        <v>1.8665641068869596</v>
      </c>
      <c r="N12">
        <v>1.125</v>
      </c>
      <c r="O12" s="1">
        <v>1.7048280367529294</v>
      </c>
      <c r="P12" s="5">
        <v>0.39999999999999997</v>
      </c>
      <c r="Q12">
        <f t="shared" si="0"/>
        <v>1.2499999999999998</v>
      </c>
      <c r="R12">
        <v>1.711425989625176</v>
      </c>
      <c r="U12" s="5">
        <v>0.4</v>
      </c>
      <c r="V12">
        <f t="shared" si="1"/>
        <v>1.25</v>
      </c>
      <c r="W12">
        <v>2.2634538761984628</v>
      </c>
      <c r="X12" s="5">
        <v>0.36</v>
      </c>
      <c r="Y12">
        <f t="shared" si="2"/>
        <v>1.125</v>
      </c>
      <c r="Z12">
        <v>3.044586815655173</v>
      </c>
      <c r="AA12" s="5">
        <v>0.72</v>
      </c>
      <c r="AB12">
        <f t="shared" si="3"/>
        <v>2.25</v>
      </c>
      <c r="AC12">
        <v>3.2442527295216443</v>
      </c>
    </row>
    <row r="13" spans="1:45" ht="15" x14ac:dyDescent="0.35">
      <c r="A13">
        <v>1.25</v>
      </c>
      <c r="B13" s="1">
        <v>1.8375143774902354</v>
      </c>
      <c r="C13">
        <v>1.25</v>
      </c>
      <c r="D13" s="1">
        <v>2.5758501516664341</v>
      </c>
      <c r="E13">
        <v>1.25</v>
      </c>
      <c r="F13" s="1">
        <v>3.6074664051058551</v>
      </c>
      <c r="G13">
        <v>1.25</v>
      </c>
      <c r="H13" s="1">
        <v>4.9259279831683447</v>
      </c>
      <c r="K13">
        <v>1.25</v>
      </c>
      <c r="L13" s="1">
        <v>1.8491456629857499</v>
      </c>
      <c r="N13">
        <v>1.2499999999999998</v>
      </c>
      <c r="O13" s="1">
        <v>1.67250990474585</v>
      </c>
      <c r="P13" s="5">
        <v>0.43999999999999995</v>
      </c>
      <c r="Q13">
        <f t="shared" si="0"/>
        <v>1.3749999999999998</v>
      </c>
      <c r="R13">
        <v>1.6798056718775611</v>
      </c>
      <c r="U13" s="5">
        <v>0.44</v>
      </c>
      <c r="V13">
        <f t="shared" si="1"/>
        <v>1.375</v>
      </c>
      <c r="W13">
        <v>2.2216456925784374</v>
      </c>
      <c r="X13" s="5">
        <v>0.4</v>
      </c>
      <c r="Y13">
        <f t="shared" si="2"/>
        <v>1.25</v>
      </c>
      <c r="Z13">
        <v>3.0424327323124696</v>
      </c>
      <c r="AA13" s="5">
        <v>0.8</v>
      </c>
      <c r="AB13">
        <f t="shared" si="3"/>
        <v>2.5</v>
      </c>
      <c r="AC13">
        <v>3.3232899761967016</v>
      </c>
    </row>
    <row r="14" spans="1:45" ht="15" x14ac:dyDescent="0.35">
      <c r="A14">
        <v>1.375</v>
      </c>
      <c r="B14" s="1">
        <v>1.8381375714132822</v>
      </c>
      <c r="C14">
        <v>1.375</v>
      </c>
      <c r="D14" s="1">
        <v>2.4733076559373446</v>
      </c>
      <c r="E14">
        <v>1.375</v>
      </c>
      <c r="F14" s="1">
        <v>3.4682503017748831</v>
      </c>
      <c r="G14">
        <v>1.375</v>
      </c>
      <c r="H14" s="1">
        <v>4.8190366776719102</v>
      </c>
      <c r="K14">
        <v>1.375</v>
      </c>
      <c r="L14" s="1">
        <v>1.8368035067015089</v>
      </c>
      <c r="N14">
        <v>1.3749999999999998</v>
      </c>
      <c r="O14" s="1">
        <v>1.6407780493972857</v>
      </c>
      <c r="P14" s="5">
        <v>0.47999999999999993</v>
      </c>
      <c r="Q14">
        <f t="shared" si="0"/>
        <v>1.4999999999999998</v>
      </c>
      <c r="R14">
        <v>1.6533605732300276</v>
      </c>
      <c r="U14" s="5">
        <v>0.48</v>
      </c>
      <c r="V14">
        <f t="shared" si="1"/>
        <v>1.5</v>
      </c>
      <c r="W14">
        <v>2.1710315078718878</v>
      </c>
      <c r="X14" s="5">
        <v>0.44</v>
      </c>
      <c r="Y14">
        <f t="shared" si="2"/>
        <v>1.375</v>
      </c>
      <c r="Z14">
        <v>2.9500781024557905</v>
      </c>
      <c r="AA14" s="5">
        <v>0.88</v>
      </c>
      <c r="AB14">
        <f t="shared" si="3"/>
        <v>2.75</v>
      </c>
      <c r="AC14">
        <v>3.5155453014565121</v>
      </c>
    </row>
    <row r="15" spans="1:45" ht="15" x14ac:dyDescent="0.35">
      <c r="A15">
        <v>1.5</v>
      </c>
      <c r="B15" s="1">
        <v>1.8434482674531556</v>
      </c>
      <c r="C15">
        <v>1.5</v>
      </c>
      <c r="D15" s="1">
        <v>2.4158247903833048</v>
      </c>
      <c r="E15">
        <v>1.5</v>
      </c>
      <c r="F15" s="1">
        <v>3.3268530197132495</v>
      </c>
      <c r="G15">
        <v>1.5</v>
      </c>
      <c r="H15" s="1">
        <v>4.6704591178012631</v>
      </c>
      <c r="K15">
        <v>1.5</v>
      </c>
      <c r="L15" s="1">
        <v>1.8171604990305992</v>
      </c>
      <c r="N15">
        <v>1.4999999999999998</v>
      </c>
      <c r="O15" s="1">
        <v>1.6173206608783615</v>
      </c>
      <c r="P15" s="5">
        <v>0.51999999999999991</v>
      </c>
      <c r="Q15">
        <f t="shared" si="0"/>
        <v>1.6249999999999998</v>
      </c>
      <c r="R15">
        <v>1.6329983891791859</v>
      </c>
      <c r="U15" s="5">
        <v>0.52</v>
      </c>
      <c r="V15">
        <f t="shared" si="1"/>
        <v>1.625</v>
      </c>
      <c r="W15">
        <v>2.1778053548615222</v>
      </c>
      <c r="X15" s="5">
        <v>0.48</v>
      </c>
      <c r="Y15">
        <f t="shared" si="2"/>
        <v>1.5</v>
      </c>
      <c r="Z15">
        <v>2.8723685297907018</v>
      </c>
      <c r="AA15" s="5">
        <v>0.96</v>
      </c>
      <c r="AB15">
        <f t="shared" si="3"/>
        <v>3</v>
      </c>
      <c r="AC15">
        <v>3.8781493308116564</v>
      </c>
    </row>
    <row r="16" spans="1:45" ht="15" x14ac:dyDescent="0.35">
      <c r="A16">
        <v>1.625</v>
      </c>
      <c r="B16" s="1">
        <v>1.8508994991417536</v>
      </c>
      <c r="C16">
        <v>1.625</v>
      </c>
      <c r="D16" s="1">
        <v>2.4030764103488123</v>
      </c>
      <c r="E16">
        <v>1.625</v>
      </c>
      <c r="F16" s="1">
        <v>3.2115756916436466</v>
      </c>
      <c r="G16">
        <v>1.625</v>
      </c>
      <c r="H16" s="1">
        <v>4.5999999999999996</v>
      </c>
      <c r="K16">
        <v>1.625</v>
      </c>
      <c r="L16" s="1">
        <v>1.8225764983562338</v>
      </c>
      <c r="N16">
        <v>1.6249999999999998</v>
      </c>
      <c r="O16" s="1">
        <v>1.6158075528955576</v>
      </c>
      <c r="P16" s="5">
        <v>0.55999999999999994</v>
      </c>
      <c r="Q16">
        <f t="shared" si="0"/>
        <v>1.7499999999999998</v>
      </c>
      <c r="R16">
        <v>1.6193016705661445</v>
      </c>
      <c r="U16" s="5">
        <v>0.56000000000000005</v>
      </c>
      <c r="V16">
        <f t="shared" si="1"/>
        <v>1.7500000000000002</v>
      </c>
      <c r="W16">
        <v>2.0808445090518917</v>
      </c>
      <c r="X16" s="5">
        <v>0.52</v>
      </c>
      <c r="Y16">
        <f t="shared" si="2"/>
        <v>1.625</v>
      </c>
      <c r="Z16">
        <v>2.7846336635809537</v>
      </c>
      <c r="AA16" s="5">
        <v>1.04</v>
      </c>
      <c r="AB16">
        <f t="shared" si="3"/>
        <v>3.25</v>
      </c>
      <c r="AC16">
        <v>4.4009141983897209</v>
      </c>
    </row>
    <row r="17" spans="1:48" ht="15" x14ac:dyDescent="0.35">
      <c r="A17">
        <v>1.7411347517730495</v>
      </c>
      <c r="B17" s="1">
        <v>1.8285458040759592</v>
      </c>
      <c r="C17">
        <v>1.75</v>
      </c>
      <c r="D17" s="1">
        <v>2.3423420982397478</v>
      </c>
      <c r="E17">
        <v>1.75</v>
      </c>
      <c r="F17" s="1">
        <v>3.1187875355796315</v>
      </c>
      <c r="G17">
        <v>1.75</v>
      </c>
      <c r="H17" s="1">
        <v>4.3339208516622341</v>
      </c>
      <c r="K17">
        <v>1.75</v>
      </c>
      <c r="L17" s="1">
        <v>1.82244777880806</v>
      </c>
      <c r="N17">
        <v>1.7499999999999998</v>
      </c>
      <c r="O17" s="1">
        <v>1.5990242771642924</v>
      </c>
      <c r="P17" s="5">
        <v>0.6</v>
      </c>
      <c r="Q17">
        <f t="shared" si="0"/>
        <v>1.875</v>
      </c>
      <c r="R17">
        <v>1.6110646726267488</v>
      </c>
      <c r="U17" s="5">
        <v>0.6</v>
      </c>
      <c r="V17">
        <f t="shared" si="1"/>
        <v>1.875</v>
      </c>
      <c r="W17">
        <v>2.0515408469747323</v>
      </c>
      <c r="X17" s="5">
        <v>0.56000000000000005</v>
      </c>
      <c r="Y17">
        <f t="shared" si="2"/>
        <v>1.7500000000000002</v>
      </c>
      <c r="Z17">
        <v>2.7045938875514306</v>
      </c>
      <c r="AA17" s="5">
        <v>1.08</v>
      </c>
      <c r="AB17">
        <f t="shared" si="3"/>
        <v>3.375</v>
      </c>
      <c r="AC17">
        <v>4.7167651358224054</v>
      </c>
    </row>
    <row r="18" spans="1:48" ht="15" x14ac:dyDescent="0.35">
      <c r="A18">
        <v>1.875</v>
      </c>
      <c r="B18" s="1">
        <v>1.8069914229549418</v>
      </c>
      <c r="C18">
        <v>1.875</v>
      </c>
      <c r="D18" s="1">
        <v>2.406178832270065</v>
      </c>
      <c r="E18">
        <v>1.875</v>
      </c>
      <c r="F18" s="1">
        <v>3.0462125389326857</v>
      </c>
      <c r="G18">
        <v>1.875</v>
      </c>
      <c r="H18" s="1">
        <v>4.1790707094791859</v>
      </c>
      <c r="K18">
        <v>1.875</v>
      </c>
      <c r="L18" s="1">
        <v>1.8</v>
      </c>
      <c r="N18">
        <v>1.875</v>
      </c>
      <c r="O18" s="1">
        <v>1.5810861502149542</v>
      </c>
      <c r="P18" s="5">
        <v>0.68</v>
      </c>
      <c r="Q18">
        <f t="shared" si="0"/>
        <v>2.125</v>
      </c>
      <c r="R18">
        <v>1.6104008356217647</v>
      </c>
      <c r="U18" s="5">
        <v>0.64</v>
      </c>
      <c r="V18">
        <f t="shared" si="1"/>
        <v>2</v>
      </c>
      <c r="W18">
        <v>2.0352565188116505</v>
      </c>
      <c r="X18" s="5">
        <v>0.6</v>
      </c>
      <c r="Y18">
        <f t="shared" si="2"/>
        <v>1.875</v>
      </c>
      <c r="Z18">
        <v>2.6395243133689998</v>
      </c>
      <c r="AA18" s="5">
        <v>1.1200000000000001</v>
      </c>
      <c r="AB18">
        <f t="shared" si="3"/>
        <v>3.5000000000000004</v>
      </c>
      <c r="AC18">
        <v>4.9171897205517165</v>
      </c>
    </row>
    <row r="19" spans="1:48" ht="15" x14ac:dyDescent="0.35">
      <c r="A19">
        <v>2</v>
      </c>
      <c r="B19" s="1">
        <v>1.7885936545310941</v>
      </c>
      <c r="C19">
        <v>2</v>
      </c>
      <c r="D19" s="1">
        <v>2.3164118119634267</v>
      </c>
      <c r="E19">
        <v>2</v>
      </c>
      <c r="F19" s="1">
        <v>3.0083602819546074</v>
      </c>
      <c r="G19">
        <v>2</v>
      </c>
      <c r="H19" s="1">
        <v>4.0626147320333867</v>
      </c>
      <c r="K19">
        <v>2</v>
      </c>
      <c r="L19" s="1">
        <v>1.7990481749978899</v>
      </c>
      <c r="N19">
        <v>2</v>
      </c>
      <c r="O19" s="1">
        <v>1.5842071988535782</v>
      </c>
      <c r="P19" s="5">
        <v>0.72000000000000008</v>
      </c>
      <c r="Q19">
        <f t="shared" si="0"/>
        <v>2.25</v>
      </c>
      <c r="R19">
        <v>1.6340551093095688</v>
      </c>
      <c r="U19" s="5">
        <v>0.68</v>
      </c>
      <c r="V19">
        <f t="shared" si="1"/>
        <v>2.125</v>
      </c>
      <c r="W19">
        <v>2.0346875156645212</v>
      </c>
      <c r="X19" s="5">
        <v>0.64</v>
      </c>
      <c r="Y19">
        <f t="shared" si="2"/>
        <v>2</v>
      </c>
      <c r="Z19">
        <v>2.595914286449732</v>
      </c>
    </row>
    <row r="20" spans="1:48" ht="15" x14ac:dyDescent="0.35">
      <c r="A20">
        <v>2.125</v>
      </c>
      <c r="B20" s="1">
        <v>1.7596693278853539</v>
      </c>
      <c r="C20">
        <v>2.125</v>
      </c>
      <c r="D20" s="1">
        <v>2.3055872044739902</v>
      </c>
      <c r="E20">
        <v>2.125</v>
      </c>
      <c r="F20" s="1">
        <v>3.0828725988405883</v>
      </c>
      <c r="G20">
        <v>2.125</v>
      </c>
      <c r="H20" s="1">
        <v>3.9998618135214112</v>
      </c>
      <c r="K20">
        <v>2.125</v>
      </c>
      <c r="L20" s="1">
        <v>1.8012623282474922</v>
      </c>
      <c r="N20">
        <v>2.125</v>
      </c>
      <c r="O20" s="1">
        <v>1.5915915029924979</v>
      </c>
      <c r="P20" s="5">
        <v>0.76000000000000012</v>
      </c>
      <c r="Q20">
        <f t="shared" si="0"/>
        <v>2.3750000000000004</v>
      </c>
      <c r="R20">
        <v>1.6384310144648728</v>
      </c>
      <c r="U20" s="5">
        <v>0.72</v>
      </c>
      <c r="V20">
        <f t="shared" si="1"/>
        <v>2.25</v>
      </c>
      <c r="W20">
        <v>2.0726617018884133</v>
      </c>
      <c r="X20" s="5">
        <v>0.68</v>
      </c>
      <c r="Y20">
        <f t="shared" si="2"/>
        <v>2.125</v>
      </c>
      <c r="Z20">
        <v>2.6783384566196062</v>
      </c>
    </row>
    <row r="21" spans="1:48" ht="15" x14ac:dyDescent="0.35">
      <c r="A21">
        <v>2.2500000000000004</v>
      </c>
      <c r="B21" s="1">
        <v>1.756946241395521</v>
      </c>
      <c r="C21">
        <v>2.2500000000000004</v>
      </c>
      <c r="D21" s="1">
        <v>2.3090283187447249</v>
      </c>
      <c r="E21">
        <v>2.2500000000000004</v>
      </c>
      <c r="F21" s="1">
        <v>3.0351576206456019</v>
      </c>
      <c r="G21">
        <v>2.2500000000000004</v>
      </c>
      <c r="H21" s="1">
        <v>3.9932505388595283</v>
      </c>
      <c r="K21">
        <v>2.2500000000000004</v>
      </c>
      <c r="L21" s="1">
        <v>1.82529967124673</v>
      </c>
      <c r="N21">
        <v>2.25</v>
      </c>
      <c r="O21" s="1">
        <v>1.6243066677906097</v>
      </c>
      <c r="P21" s="5">
        <v>0.80000000000000016</v>
      </c>
      <c r="Q21">
        <f t="shared" si="0"/>
        <v>2.5000000000000004</v>
      </c>
      <c r="R21" s="1">
        <v>1.6468958105032456</v>
      </c>
      <c r="U21" s="5">
        <v>0.76</v>
      </c>
      <c r="V21">
        <f t="shared" si="1"/>
        <v>2.375</v>
      </c>
      <c r="W21">
        <v>2.0633408884306759</v>
      </c>
      <c r="X21" s="5">
        <v>0.72</v>
      </c>
      <c r="Y21">
        <f t="shared" si="2"/>
        <v>2.25</v>
      </c>
      <c r="Z21">
        <v>2.5801447706578626</v>
      </c>
    </row>
    <row r="22" spans="1:48" ht="15" x14ac:dyDescent="0.35">
      <c r="A22">
        <v>2.3750000000000004</v>
      </c>
      <c r="B22" s="1">
        <v>1.7890000853504719</v>
      </c>
      <c r="C22">
        <v>2.5</v>
      </c>
      <c r="D22" s="1">
        <v>2.3956658217421523</v>
      </c>
      <c r="E22">
        <v>2.3750000000000004</v>
      </c>
      <c r="F22" s="1">
        <v>3.094686187990511</v>
      </c>
      <c r="G22">
        <v>2.3750000000000004</v>
      </c>
      <c r="H22" s="1">
        <v>4.044325345161373</v>
      </c>
      <c r="K22">
        <v>2.5</v>
      </c>
      <c r="L22" s="1">
        <v>1.83893913849785</v>
      </c>
      <c r="N22">
        <v>2.3750000000000004</v>
      </c>
      <c r="O22" s="1">
        <v>1.6220348984236703</v>
      </c>
      <c r="P22" s="5">
        <v>0.84000000000000019</v>
      </c>
      <c r="Q22">
        <f t="shared" si="0"/>
        <v>2.6250000000000004</v>
      </c>
      <c r="R22" s="1">
        <v>1.6797100227598416</v>
      </c>
      <c r="U22" s="5">
        <v>0.8</v>
      </c>
      <c r="V22">
        <f t="shared" si="1"/>
        <v>2.5</v>
      </c>
      <c r="W22">
        <v>2.0887292669478268</v>
      </c>
      <c r="X22" s="5">
        <v>0.76</v>
      </c>
      <c r="Y22">
        <f t="shared" si="2"/>
        <v>2.375</v>
      </c>
      <c r="Z22">
        <v>2.5986102775516065</v>
      </c>
    </row>
    <row r="23" spans="1:48" ht="15" x14ac:dyDescent="0.35">
      <c r="A23">
        <v>2.5</v>
      </c>
      <c r="B23" s="1">
        <v>1.7890000853504719</v>
      </c>
      <c r="C23">
        <v>2.625</v>
      </c>
      <c r="D23" s="1">
        <v>2.4525390410671246</v>
      </c>
      <c r="E23">
        <v>2.5</v>
      </c>
      <c r="F23" s="1">
        <v>3.1792237984211518</v>
      </c>
      <c r="G23">
        <v>2.5</v>
      </c>
      <c r="H23" s="1">
        <v>4.1489677334572495</v>
      </c>
      <c r="K23">
        <v>2.625</v>
      </c>
      <c r="L23" s="1">
        <v>1.86</v>
      </c>
      <c r="N23">
        <v>2.5000000000000004</v>
      </c>
      <c r="O23" s="1">
        <v>1.6526696408370849</v>
      </c>
      <c r="P23" s="5">
        <v>0.88000000000000023</v>
      </c>
      <c r="Q23">
        <f t="shared" si="0"/>
        <v>2.7500000000000004</v>
      </c>
      <c r="R23" s="1">
        <v>1.740883419033971</v>
      </c>
      <c r="U23" s="5">
        <v>0.84</v>
      </c>
      <c r="V23">
        <f t="shared" si="1"/>
        <v>2.625</v>
      </c>
      <c r="W23">
        <v>2.1206340862690056</v>
      </c>
      <c r="X23" s="5">
        <v>0.8</v>
      </c>
      <c r="Y23">
        <f t="shared" si="2"/>
        <v>2.5</v>
      </c>
      <c r="Z23">
        <v>2.6787990782149018</v>
      </c>
    </row>
    <row r="24" spans="1:48" ht="15" x14ac:dyDescent="0.35">
      <c r="A24">
        <v>2.625</v>
      </c>
      <c r="B24" s="1">
        <v>1.8420257595853322</v>
      </c>
      <c r="C24">
        <v>2.75</v>
      </c>
      <c r="D24" s="1">
        <v>2.534041968046409</v>
      </c>
      <c r="E24">
        <v>2.625</v>
      </c>
      <c r="F24" s="1">
        <v>3.3066669556841384</v>
      </c>
      <c r="G24">
        <v>2.625</v>
      </c>
      <c r="H24" s="1">
        <v>4.3062158174746283</v>
      </c>
      <c r="K24">
        <v>2.75</v>
      </c>
      <c r="L24" s="1">
        <v>1.89076540504088</v>
      </c>
      <c r="N24">
        <v>2.6250000000000004</v>
      </c>
      <c r="O24" s="1">
        <v>1.6660954055705406</v>
      </c>
      <c r="P24" s="5">
        <v>0.92000000000000026</v>
      </c>
      <c r="Q24">
        <f t="shared" si="0"/>
        <v>2.8750000000000009</v>
      </c>
      <c r="R24" s="1">
        <v>1.790493551378235</v>
      </c>
      <c r="U24" s="5">
        <v>0.88</v>
      </c>
      <c r="V24">
        <f t="shared" si="1"/>
        <v>2.75</v>
      </c>
      <c r="W24">
        <v>2.1768163732010355</v>
      </c>
      <c r="X24" s="5">
        <v>0.84</v>
      </c>
      <c r="Y24">
        <f t="shared" si="2"/>
        <v>2.625</v>
      </c>
      <c r="Z24">
        <v>2.6989986899379925</v>
      </c>
    </row>
    <row r="25" spans="1:48" ht="15" x14ac:dyDescent="0.35">
      <c r="A25">
        <v>2.75</v>
      </c>
      <c r="B25" s="1">
        <v>1.863241448356868</v>
      </c>
      <c r="C25">
        <v>2.875</v>
      </c>
      <c r="D25" s="1">
        <v>2.6198666094050802</v>
      </c>
      <c r="E25">
        <v>2.75</v>
      </c>
      <c r="F25" s="1">
        <v>3.4389737350856824</v>
      </c>
      <c r="G25">
        <v>2.75</v>
      </c>
      <c r="H25" s="1">
        <v>4.5122355998173767</v>
      </c>
      <c r="K25">
        <v>2.875</v>
      </c>
      <c r="L25" s="1">
        <v>1.9128171626064232</v>
      </c>
      <c r="N25">
        <v>2.7500000000000004</v>
      </c>
      <c r="O25" s="1">
        <v>1.6970925293951089</v>
      </c>
      <c r="P25" s="5">
        <v>0.9600000000000003</v>
      </c>
      <c r="Q25">
        <f t="shared" si="0"/>
        <v>3.0000000000000009</v>
      </c>
      <c r="R25" s="1">
        <v>1.8301778639467252</v>
      </c>
      <c r="U25" s="5">
        <v>0.92</v>
      </c>
      <c r="V25">
        <f t="shared" si="1"/>
        <v>2.875</v>
      </c>
      <c r="W25">
        <v>2.2465192587243763</v>
      </c>
      <c r="X25" s="5">
        <v>0.88</v>
      </c>
      <c r="Y25">
        <f t="shared" si="2"/>
        <v>2.75</v>
      </c>
      <c r="Z25">
        <v>2.7840104696579071</v>
      </c>
    </row>
    <row r="26" spans="1:48" ht="15" x14ac:dyDescent="0.35">
      <c r="A26">
        <v>2.875</v>
      </c>
      <c r="B26" s="1">
        <v>1.9074340261172444</v>
      </c>
      <c r="C26">
        <v>3</v>
      </c>
      <c r="D26" s="1">
        <v>2.7214743142495998</v>
      </c>
      <c r="E26">
        <v>2.875</v>
      </c>
      <c r="F26" s="1">
        <v>3.5986468563253506</v>
      </c>
      <c r="G26">
        <v>2.875</v>
      </c>
      <c r="H26" s="1">
        <v>4.7717958687661985</v>
      </c>
      <c r="K26">
        <v>3</v>
      </c>
      <c r="L26" s="1">
        <v>1.9446661889909802</v>
      </c>
      <c r="N26">
        <v>2.8750000000000009</v>
      </c>
      <c r="O26" s="1">
        <v>1.7493188896851923</v>
      </c>
      <c r="P26" s="5">
        <v>1.0000000000000002</v>
      </c>
      <c r="Q26">
        <f t="shared" si="0"/>
        <v>3.1250000000000004</v>
      </c>
      <c r="R26" s="1">
        <v>1.8988683301019977</v>
      </c>
      <c r="U26" s="5">
        <v>0.96</v>
      </c>
      <c r="V26">
        <f t="shared" si="1"/>
        <v>3</v>
      </c>
      <c r="W26">
        <v>2.3372481653035431</v>
      </c>
      <c r="X26" s="5">
        <v>0.92</v>
      </c>
      <c r="Y26">
        <f t="shared" si="2"/>
        <v>2.875</v>
      </c>
      <c r="Z26">
        <v>2.8981362437392719</v>
      </c>
    </row>
    <row r="27" spans="1:48" ht="15" x14ac:dyDescent="0.35">
      <c r="A27">
        <v>3</v>
      </c>
      <c r="B27" s="1">
        <v>1.976879505454979</v>
      </c>
      <c r="C27">
        <v>3.125</v>
      </c>
      <c r="D27" s="1">
        <v>2.8380522209412122</v>
      </c>
      <c r="E27">
        <v>3</v>
      </c>
      <c r="F27" s="1">
        <v>3.8801814849085461</v>
      </c>
      <c r="G27">
        <v>3</v>
      </c>
      <c r="H27" s="1">
        <v>5.0734217275206497</v>
      </c>
      <c r="K27">
        <v>3.125</v>
      </c>
      <c r="L27" s="1">
        <v>1.999331956503414</v>
      </c>
      <c r="N27">
        <v>3.0000000000000009</v>
      </c>
      <c r="O27" s="1">
        <v>1.7914386702667406</v>
      </c>
      <c r="P27" s="5">
        <v>1.0400000000000003</v>
      </c>
      <c r="Q27">
        <f t="shared" si="0"/>
        <v>3.2500000000000009</v>
      </c>
      <c r="R27" s="1">
        <v>1.966117339627413</v>
      </c>
      <c r="U27" s="5">
        <v>1</v>
      </c>
      <c r="V27">
        <f t="shared" si="1"/>
        <v>3.125</v>
      </c>
      <c r="W27">
        <v>2.4466864372680805</v>
      </c>
      <c r="X27" s="5">
        <v>0.96</v>
      </c>
      <c r="Y27">
        <f t="shared" si="2"/>
        <v>3</v>
      </c>
      <c r="Z27">
        <v>3.0465647789761467</v>
      </c>
    </row>
    <row r="28" spans="1:48" ht="15" x14ac:dyDescent="0.35">
      <c r="A28">
        <v>3.125</v>
      </c>
      <c r="B28" s="1">
        <v>1.9937599321531487</v>
      </c>
      <c r="C28">
        <v>3.25</v>
      </c>
      <c r="D28" s="1">
        <v>2.9540475767917167</v>
      </c>
      <c r="E28">
        <v>3.125</v>
      </c>
      <c r="F28" s="1">
        <v>4.0999999999999996</v>
      </c>
      <c r="G28">
        <v>3.125</v>
      </c>
      <c r="H28" s="1">
        <v>5.4007069186718377</v>
      </c>
      <c r="K28">
        <v>3.25</v>
      </c>
      <c r="L28" s="1">
        <v>2.0660739273370998</v>
      </c>
      <c r="N28">
        <v>3.1250000000000004</v>
      </c>
      <c r="O28" s="1">
        <v>1.8516852653925513</v>
      </c>
      <c r="P28" s="5">
        <v>1.0800000000000003</v>
      </c>
      <c r="Q28">
        <f t="shared" si="0"/>
        <v>3.3750000000000009</v>
      </c>
      <c r="R28" s="1">
        <v>2.0404598330944954</v>
      </c>
      <c r="U28" s="5">
        <v>1.04</v>
      </c>
      <c r="V28">
        <f t="shared" si="1"/>
        <v>3.25</v>
      </c>
      <c r="W28">
        <v>2.5696859509058663</v>
      </c>
      <c r="X28" s="5">
        <v>1</v>
      </c>
      <c r="Y28">
        <f t="shared" si="2"/>
        <v>3.125</v>
      </c>
      <c r="Z28">
        <v>3.2212081020629073</v>
      </c>
    </row>
    <row r="29" spans="1:48" ht="15" x14ac:dyDescent="0.35">
      <c r="A29">
        <v>3.25</v>
      </c>
      <c r="B29" s="1">
        <v>2.0519879208760479</v>
      </c>
      <c r="C29">
        <v>3.375</v>
      </c>
      <c r="D29" s="1">
        <v>3.0829674326984433</v>
      </c>
      <c r="E29">
        <v>3.25</v>
      </c>
      <c r="F29" s="1">
        <v>4.3067170821518612</v>
      </c>
      <c r="G29">
        <v>3.25</v>
      </c>
      <c r="H29" s="1">
        <v>6.1416573977860356</v>
      </c>
      <c r="K29">
        <v>3.375</v>
      </c>
      <c r="L29" s="1">
        <v>2.12427294950687</v>
      </c>
      <c r="N29">
        <v>3.2500000000000009</v>
      </c>
      <c r="O29" s="1">
        <v>1.9186379690381001</v>
      </c>
      <c r="P29" s="5">
        <v>1.1200000000000003</v>
      </c>
      <c r="Q29">
        <f t="shared" si="0"/>
        <v>3.5000000000000009</v>
      </c>
      <c r="R29" s="1">
        <v>2.1068743150973619</v>
      </c>
      <c r="U29" s="5">
        <v>1.08</v>
      </c>
      <c r="V29">
        <f t="shared" si="1"/>
        <v>3.375</v>
      </c>
      <c r="W29">
        <v>2.6948260001923776</v>
      </c>
      <c r="X29" s="5">
        <v>1.04</v>
      </c>
      <c r="Y29">
        <f t="shared" si="2"/>
        <v>3.25</v>
      </c>
      <c r="Z29">
        <v>3.4178393324780223</v>
      </c>
    </row>
    <row r="30" spans="1:48" ht="15" x14ac:dyDescent="0.35">
      <c r="A30">
        <v>3.375</v>
      </c>
      <c r="B30" s="1">
        <v>2.1138331438914126</v>
      </c>
      <c r="C30">
        <v>3.5</v>
      </c>
      <c r="D30" s="1">
        <v>3.1992201947345533</v>
      </c>
      <c r="E30">
        <v>3.375</v>
      </c>
      <c r="F30" s="1">
        <v>4.4180249358855379</v>
      </c>
      <c r="G30">
        <v>3.375</v>
      </c>
      <c r="H30" s="1">
        <v>6.35</v>
      </c>
      <c r="K30">
        <v>3.5</v>
      </c>
      <c r="L30" s="1">
        <v>2.2200000000000002</v>
      </c>
      <c r="N30">
        <v>3.3750000000000009</v>
      </c>
      <c r="O30" s="1">
        <v>1.9796432350267499</v>
      </c>
      <c r="U30" s="5">
        <v>1.1200000000000001</v>
      </c>
      <c r="V30">
        <f t="shared" si="1"/>
        <v>3.5000000000000004</v>
      </c>
      <c r="W30">
        <v>2.8099949467101455</v>
      </c>
      <c r="X30" s="5">
        <v>1.08</v>
      </c>
      <c r="Y30">
        <f t="shared" si="2"/>
        <v>3.375</v>
      </c>
      <c r="Z30">
        <v>3.6259590073875572</v>
      </c>
    </row>
    <row r="31" spans="1:48" ht="15" x14ac:dyDescent="0.35">
      <c r="A31">
        <v>3.5</v>
      </c>
      <c r="B31" s="1">
        <v>2.1995764990862083</v>
      </c>
      <c r="E31">
        <v>3.5</v>
      </c>
      <c r="F31">
        <v>4.6002414199067108</v>
      </c>
      <c r="G31">
        <v>3.5</v>
      </c>
      <c r="H31" s="1">
        <v>6.8823233753266688</v>
      </c>
      <c r="N31">
        <v>3.5000000000000009</v>
      </c>
      <c r="O31" s="1">
        <v>2.0494409544079453</v>
      </c>
      <c r="X31" s="5">
        <v>1.1200000000000001</v>
      </c>
      <c r="Y31">
        <f>X31/0.32</f>
        <v>3.5000000000000004</v>
      </c>
      <c r="Z31">
        <v>3.9247398504063633</v>
      </c>
    </row>
    <row r="32" spans="1:48" ht="15" x14ac:dyDescent="0.35">
      <c r="A32" s="2" t="s">
        <v>4</v>
      </c>
      <c r="D32" s="1"/>
      <c r="E32" s="2" t="s">
        <v>4</v>
      </c>
      <c r="H32" s="2" t="s">
        <v>4</v>
      </c>
      <c r="K32" s="2" t="s">
        <v>4</v>
      </c>
      <c r="M32" s="1"/>
      <c r="S32" s="1"/>
      <c r="T32" s="2" t="s">
        <v>4</v>
      </c>
      <c r="X32" s="2" t="s">
        <v>4</v>
      </c>
      <c r="AD32" s="1"/>
      <c r="AF32" s="2" t="s">
        <v>4</v>
      </c>
      <c r="AV32" s="5"/>
    </row>
    <row r="33" spans="1:34" ht="15" x14ac:dyDescent="0.35">
      <c r="A33" s="5" t="str">
        <f>"A"&amp;_xlfn.UNICHAR(8348)&amp;" = 0.4, n = 1.2, K"&amp;_xlfn.UNICHAR(8321)</f>
        <v>Aₜ = 0.4, n = 1.2, K₁</v>
      </c>
      <c r="B33" s="2"/>
      <c r="C33" s="5" t="str">
        <f>"A"&amp;_xlfn.UNICHAR(8348)&amp;" = 0.4, n = 1.3, K"&amp;_xlfn.UNICHAR(8321)</f>
        <v>Aₜ = 0.4, n = 1.3, K₁</v>
      </c>
      <c r="F33" s="5" t="str">
        <f>"A"&amp;_xlfn.UNICHAR(8348)&amp;" = 0.4, n = 1.4, K"&amp;_xlfn.UNICHAR(8321)</f>
        <v>Aₜ = 0.4, n = 1.4, K₁</v>
      </c>
      <c r="H33" s="5" t="str">
        <f>"A"&amp;_xlfn.UNICHAR(8348)&amp;" = 0.4, n = 1.5, K"&amp;_xlfn.UNICHAR(8321)</f>
        <v>Aₜ = 0.4, n = 1.5, K₁</v>
      </c>
      <c r="K33" s="5" t="str">
        <f>"A"&amp;_xlfn.UNICHAR(8348)&amp;" = 0.4, n = 1.2, K"&amp;_xlfn.UNICHAR(8322)</f>
        <v>Aₜ = 0.4, n = 1.2, K₂</v>
      </c>
      <c r="N33" s="5" t="str">
        <f>"A"&amp;_xlfn.UNICHAR(8348)&amp;" = 0.2, n = 1.2, K"&amp;_xlfn.UNICHAR(8322)</f>
        <v>Aₜ = 0.2, n = 1.2, K₂</v>
      </c>
      <c r="Q33" s="5" t="str">
        <f>"A"&amp;_xlfn.UNICHAR(8348)&amp;" = 0.2, n = 1.2, K"&amp;_xlfn.UNICHAR(8321)</f>
        <v>Aₜ = 0.2, n = 1.2, K₁</v>
      </c>
      <c r="X33" s="5" t="str">
        <f>"A"&amp;_xlfn.UNICHAR(8348)&amp;" = 0.2, n = 1.3, K"&amp;_xlfn.UNICHAR(8321)</f>
        <v>Aₜ = 0.2, n = 1.3, K₁</v>
      </c>
      <c r="AA33" s="5" t="str">
        <f>"A"&amp;_xlfn.UNICHAR(8348)&amp;" = 0.2, n = 1.4, K"&amp;_xlfn.UNICHAR(8321)</f>
        <v>Aₜ = 0.2, n = 1.4, K₁</v>
      </c>
      <c r="AG33" s="5" t="str">
        <f>"A"&amp;_xlfn.UNICHAR(8348)&amp;" = 0.2, n = 1.5, K"&amp;_xlfn.UNICHAR(8321)</f>
        <v>Aₜ = 0.2, n = 1.5, K₁</v>
      </c>
    </row>
    <row r="34" spans="1:34" x14ac:dyDescent="0.3">
      <c r="A34" t="s">
        <v>1</v>
      </c>
      <c r="B34" t="s">
        <v>5</v>
      </c>
      <c r="C34" t="s">
        <v>1</v>
      </c>
      <c r="D34" t="s">
        <v>5</v>
      </c>
      <c r="E34" t="s">
        <v>0</v>
      </c>
      <c r="F34" t="s">
        <v>3</v>
      </c>
      <c r="G34" t="s">
        <v>5</v>
      </c>
      <c r="H34" t="s">
        <v>0</v>
      </c>
      <c r="I34" t="s">
        <v>3</v>
      </c>
      <c r="J34" t="s">
        <v>5</v>
      </c>
      <c r="K34" t="s">
        <v>3</v>
      </c>
      <c r="L34" t="s">
        <v>5</v>
      </c>
      <c r="N34" t="s">
        <v>3</v>
      </c>
      <c r="O34" t="s">
        <v>5</v>
      </c>
      <c r="Q34" t="s">
        <v>0</v>
      </c>
      <c r="R34" t="s">
        <v>3</v>
      </c>
      <c r="S34" t="s">
        <v>5</v>
      </c>
      <c r="W34" t="s">
        <v>0</v>
      </c>
      <c r="X34" t="s">
        <v>3</v>
      </c>
      <c r="Y34" t="s">
        <v>5</v>
      </c>
      <c r="AA34" t="s">
        <v>0</v>
      </c>
      <c r="AB34" t="s">
        <v>3</v>
      </c>
      <c r="AC34" t="s">
        <v>5</v>
      </c>
      <c r="AF34" t="s">
        <v>0</v>
      </c>
      <c r="AG34" t="s">
        <v>3</v>
      </c>
      <c r="AH34" t="s">
        <v>5</v>
      </c>
    </row>
    <row r="35" spans="1:34" ht="15" x14ac:dyDescent="0.35">
      <c r="A35">
        <v>0</v>
      </c>
      <c r="B35" s="1">
        <v>1</v>
      </c>
      <c r="C35">
        <v>0</v>
      </c>
      <c r="D35" s="1">
        <v>1</v>
      </c>
      <c r="E35">
        <v>0</v>
      </c>
      <c r="F35">
        <v>0</v>
      </c>
      <c r="G35">
        <v>1</v>
      </c>
      <c r="H35">
        <v>0</v>
      </c>
      <c r="I35">
        <v>0</v>
      </c>
      <c r="J35" s="1">
        <v>1</v>
      </c>
      <c r="K35">
        <v>0</v>
      </c>
      <c r="L35" s="1">
        <v>1</v>
      </c>
      <c r="N35">
        <v>0</v>
      </c>
      <c r="O35" s="1">
        <v>1</v>
      </c>
      <c r="P35" s="1"/>
      <c r="Q35">
        <v>0</v>
      </c>
      <c r="R35">
        <v>0</v>
      </c>
      <c r="S35" s="1">
        <v>1</v>
      </c>
      <c r="W35">
        <v>0</v>
      </c>
      <c r="X35">
        <v>0</v>
      </c>
      <c r="Y35" s="1">
        <v>1</v>
      </c>
      <c r="AA35" s="5">
        <v>0</v>
      </c>
      <c r="AB35">
        <v>0</v>
      </c>
      <c r="AC35">
        <v>1</v>
      </c>
      <c r="AF35">
        <v>0</v>
      </c>
      <c r="AG35">
        <v>0</v>
      </c>
      <c r="AH35">
        <v>1</v>
      </c>
    </row>
    <row r="36" spans="1:34" ht="15" x14ac:dyDescent="0.35">
      <c r="A36">
        <v>0.125</v>
      </c>
      <c r="B36" s="1">
        <v>1.2626450788679004</v>
      </c>
      <c r="C36">
        <v>0.125</v>
      </c>
      <c r="D36" s="1">
        <v>1.4405940392856031</v>
      </c>
      <c r="E36" s="5">
        <v>2.8199999999999999E-2</v>
      </c>
      <c r="F36">
        <f>E36/0.2256</f>
        <v>0.125</v>
      </c>
      <c r="G36">
        <v>1.6491607880964543</v>
      </c>
      <c r="H36">
        <v>2.8199999999999999E-2</v>
      </c>
      <c r="I36">
        <f>H36/0.2256</f>
        <v>0.125</v>
      </c>
      <c r="J36" s="1">
        <v>1.8915425810795616</v>
      </c>
      <c r="K36">
        <v>0.125</v>
      </c>
      <c r="L36" s="1">
        <v>1.2918317457641406</v>
      </c>
      <c r="N36">
        <v>0.125</v>
      </c>
      <c r="O36" s="1">
        <v>1.1400994689370312</v>
      </c>
      <c r="P36" s="1"/>
      <c r="Q36" s="5">
        <v>0.08</v>
      </c>
      <c r="R36">
        <f t="shared" ref="R36:R61" si="4">Q36/0.32</f>
        <v>0.25</v>
      </c>
      <c r="S36" s="1">
        <v>1.3154810853870509</v>
      </c>
      <c r="W36" s="5">
        <v>0.04</v>
      </c>
      <c r="X36">
        <f>W36/0.32</f>
        <v>0.125</v>
      </c>
      <c r="Y36" s="1">
        <v>1.218755292068</v>
      </c>
      <c r="AA36" s="5">
        <v>0.04</v>
      </c>
      <c r="AB36">
        <f>AA36/0.32</f>
        <v>0.125</v>
      </c>
      <c r="AC36">
        <v>1.3398669345497356</v>
      </c>
      <c r="AF36" s="5">
        <v>0.08</v>
      </c>
      <c r="AG36">
        <f>AF36/0.32</f>
        <v>0.25</v>
      </c>
      <c r="AH36">
        <v>1.9687508890674175</v>
      </c>
    </row>
    <row r="37" spans="1:34" ht="15" x14ac:dyDescent="0.35">
      <c r="A37">
        <v>0.25</v>
      </c>
      <c r="B37" s="1">
        <v>1.4722685478091346</v>
      </c>
      <c r="C37">
        <v>0.25</v>
      </c>
      <c r="D37" s="1">
        <v>1.792671510418854</v>
      </c>
      <c r="E37" s="5">
        <v>5.6399999999999999E-2</v>
      </c>
      <c r="F37">
        <f t="shared" ref="F37:F63" si="5">E37/0.2256</f>
        <v>0.25</v>
      </c>
      <c r="G37">
        <v>2.1795936504667859</v>
      </c>
      <c r="H37">
        <v>5.6399999999999999E-2</v>
      </c>
      <c r="I37">
        <f t="shared" ref="I37:I63" si="6">H37/0.2256</f>
        <v>0.25</v>
      </c>
      <c r="J37" s="1">
        <v>2.6428976891698381</v>
      </c>
      <c r="K37">
        <v>0.25</v>
      </c>
      <c r="L37" s="1">
        <v>1.4983562336677063</v>
      </c>
      <c r="N37">
        <v>0.25</v>
      </c>
      <c r="O37" s="1">
        <v>1.344516564106887</v>
      </c>
      <c r="P37" s="1"/>
      <c r="Q37" s="5">
        <v>0.12</v>
      </c>
      <c r="R37">
        <f t="shared" si="4"/>
        <v>0.375</v>
      </c>
      <c r="S37" s="1">
        <v>1.45714932132827</v>
      </c>
      <c r="W37" s="5">
        <v>0.08</v>
      </c>
      <c r="X37">
        <f t="shared" ref="X37:X62" si="7">W37/0.32</f>
        <v>0.25</v>
      </c>
      <c r="Y37" s="1">
        <v>1.3966664273240701</v>
      </c>
      <c r="AA37" s="5">
        <v>0.08</v>
      </c>
      <c r="AB37">
        <f t="shared" ref="AB37:AB63" si="8">AA37/0.32</f>
        <v>0.25</v>
      </c>
      <c r="AC37">
        <v>1.7702771722711217</v>
      </c>
      <c r="AF37" s="5">
        <v>0.16</v>
      </c>
      <c r="AG37">
        <f t="shared" ref="AG37:AG50" si="9">AF37/0.32</f>
        <v>0.5</v>
      </c>
      <c r="AH37">
        <v>2.7576060140923113</v>
      </c>
    </row>
    <row r="38" spans="1:34" ht="15" x14ac:dyDescent="0.35">
      <c r="A38">
        <v>0.375</v>
      </c>
      <c r="B38" s="1">
        <v>1.6117962481016295</v>
      </c>
      <c r="C38">
        <v>0.375</v>
      </c>
      <c r="D38" s="1">
        <v>2.0460811263010865</v>
      </c>
      <c r="E38" s="5">
        <v>8.4599999999999995E-2</v>
      </c>
      <c r="F38">
        <f t="shared" si="5"/>
        <v>0.375</v>
      </c>
      <c r="G38">
        <v>2.5881785531875692</v>
      </c>
      <c r="H38">
        <v>8.4599999999999995E-2</v>
      </c>
      <c r="I38">
        <f t="shared" si="6"/>
        <v>0.375</v>
      </c>
      <c r="J38" s="1">
        <v>3.2462171451486386</v>
      </c>
      <c r="K38">
        <v>0.375</v>
      </c>
      <c r="L38" s="1">
        <v>1.6374441540925568</v>
      </c>
      <c r="N38">
        <v>0.375</v>
      </c>
      <c r="O38" s="1">
        <v>1.4814970917980275</v>
      </c>
      <c r="P38" s="1"/>
      <c r="Q38" s="5">
        <v>0.16</v>
      </c>
      <c r="R38">
        <f t="shared" si="4"/>
        <v>0.5</v>
      </c>
      <c r="S38" s="1">
        <v>1.5628755251424877</v>
      </c>
      <c r="W38" s="5">
        <v>0.12</v>
      </c>
      <c r="X38">
        <f t="shared" si="7"/>
        <v>0.375</v>
      </c>
      <c r="Y38" s="1">
        <v>1.729539256475459</v>
      </c>
      <c r="AA38" s="5">
        <v>0.12</v>
      </c>
      <c r="AB38">
        <f t="shared" si="8"/>
        <v>0.375</v>
      </c>
      <c r="AC38">
        <v>1.9856042203776283</v>
      </c>
      <c r="AF38" s="5">
        <v>0.24</v>
      </c>
      <c r="AG38">
        <f t="shared" si="9"/>
        <v>0.75</v>
      </c>
      <c r="AH38">
        <v>3.4683451356327382</v>
      </c>
    </row>
    <row r="39" spans="1:34" ht="15" x14ac:dyDescent="0.35">
      <c r="A39">
        <v>0.5</v>
      </c>
      <c r="B39" s="1">
        <v>1.6756465298259258</v>
      </c>
      <c r="C39">
        <v>0.5</v>
      </c>
      <c r="D39" s="1">
        <v>2.2289072565513259</v>
      </c>
      <c r="E39" s="5">
        <v>0.1128</v>
      </c>
      <c r="F39">
        <f t="shared" si="5"/>
        <v>0.5</v>
      </c>
      <c r="G39">
        <v>2.8922429968582897</v>
      </c>
      <c r="H39">
        <v>0.1128</v>
      </c>
      <c r="I39">
        <f t="shared" si="6"/>
        <v>0.5</v>
      </c>
      <c r="J39" s="1">
        <v>3.7313871619342316</v>
      </c>
      <c r="K39">
        <v>0.5</v>
      </c>
      <c r="L39" s="1">
        <v>1.7196324707072412</v>
      </c>
      <c r="N39">
        <v>0.5</v>
      </c>
      <c r="O39" s="1">
        <v>1.5805445502823905</v>
      </c>
      <c r="P39" s="1"/>
      <c r="Q39" s="5">
        <v>0.2</v>
      </c>
      <c r="R39">
        <f t="shared" si="4"/>
        <v>0.625</v>
      </c>
      <c r="S39" s="1">
        <v>1.6283244347563379</v>
      </c>
      <c r="W39" s="5">
        <v>0.16</v>
      </c>
      <c r="X39">
        <f t="shared" si="7"/>
        <v>0.5</v>
      </c>
      <c r="Y39" s="1">
        <v>1.8744453912777237</v>
      </c>
      <c r="AA39" s="5">
        <v>0.16</v>
      </c>
      <c r="AB39">
        <f t="shared" si="8"/>
        <v>0.5</v>
      </c>
      <c r="AC39">
        <v>2.344645206216224</v>
      </c>
      <c r="AF39" s="5">
        <v>0.32</v>
      </c>
      <c r="AG39">
        <f t="shared" si="9"/>
        <v>1</v>
      </c>
      <c r="AH39">
        <v>3.6231546347338486</v>
      </c>
    </row>
    <row r="40" spans="1:34" ht="15" x14ac:dyDescent="0.35">
      <c r="A40">
        <v>0.625</v>
      </c>
      <c r="B40" s="1">
        <v>1.7677031104150609</v>
      </c>
      <c r="C40">
        <v>0.625</v>
      </c>
      <c r="D40" s="1">
        <v>2.3526383456639928</v>
      </c>
      <c r="E40" s="5">
        <v>0.14099999999999999</v>
      </c>
      <c r="F40">
        <f t="shared" si="5"/>
        <v>0.625</v>
      </c>
      <c r="G40">
        <v>3.110320226842588</v>
      </c>
      <c r="H40">
        <v>0.14099999999999999</v>
      </c>
      <c r="I40">
        <f t="shared" si="6"/>
        <v>0.625</v>
      </c>
      <c r="J40" s="1">
        <v>4.0994509119630198</v>
      </c>
      <c r="K40">
        <v>0.625</v>
      </c>
      <c r="L40" s="1">
        <v>1.7828542527185365</v>
      </c>
      <c r="N40">
        <v>0.625</v>
      </c>
      <c r="O40" s="1">
        <v>1.6627328668970749</v>
      </c>
      <c r="P40" s="1"/>
      <c r="Q40" s="5">
        <v>0.24000000000000002</v>
      </c>
      <c r="R40">
        <f t="shared" si="4"/>
        <v>0.75</v>
      </c>
      <c r="S40" s="1">
        <v>1.6800088872872505</v>
      </c>
      <c r="W40" s="5">
        <v>0.24</v>
      </c>
      <c r="X40">
        <f t="shared" si="7"/>
        <v>0.75</v>
      </c>
      <c r="Y40" s="1">
        <v>2.1587572971266695</v>
      </c>
      <c r="AA40" s="5">
        <v>0.2</v>
      </c>
      <c r="AB40">
        <f t="shared" si="8"/>
        <v>0.625</v>
      </c>
      <c r="AC40">
        <v>2.655971213859833</v>
      </c>
      <c r="AF40" s="5">
        <v>0.4</v>
      </c>
      <c r="AG40">
        <f t="shared" si="9"/>
        <v>1.25</v>
      </c>
      <c r="AH40">
        <v>3.6635809535679886</v>
      </c>
    </row>
    <row r="41" spans="1:34" ht="15" x14ac:dyDescent="0.35">
      <c r="A41">
        <v>0.75</v>
      </c>
      <c r="B41" s="1">
        <v>1.8006917452545814</v>
      </c>
      <c r="C41">
        <v>0.75</v>
      </c>
      <c r="D41" s="1">
        <v>2.4177214675404026</v>
      </c>
      <c r="E41" s="5">
        <v>0.16919999999999999</v>
      </c>
      <c r="F41">
        <f t="shared" si="5"/>
        <v>0.75</v>
      </c>
      <c r="G41">
        <v>3.12893922910912</v>
      </c>
      <c r="H41">
        <v>0.16919999999999999</v>
      </c>
      <c r="I41">
        <f t="shared" si="6"/>
        <v>0.75</v>
      </c>
      <c r="J41" s="1">
        <v>4.2519843984756136</v>
      </c>
      <c r="K41">
        <v>0.75</v>
      </c>
      <c r="L41" s="1">
        <v>1.8102503582567648</v>
      </c>
      <c r="N41">
        <v>0.75</v>
      </c>
      <c r="O41" s="1">
        <v>1.6711624378319145</v>
      </c>
      <c r="P41" s="1"/>
      <c r="Q41" s="5">
        <v>0.28000000000000003</v>
      </c>
      <c r="R41">
        <f t="shared" si="4"/>
        <v>0.87500000000000011</v>
      </c>
      <c r="S41" s="1">
        <v>1.6960764523466638</v>
      </c>
      <c r="W41" s="5">
        <v>0.28000000000000003</v>
      </c>
      <c r="X41">
        <f t="shared" si="7"/>
        <v>0.87500000000000011</v>
      </c>
      <c r="Y41" s="1">
        <v>2.2090192417897589</v>
      </c>
      <c r="AA41" s="5">
        <v>0.24</v>
      </c>
      <c r="AB41">
        <f t="shared" si="8"/>
        <v>0.75</v>
      </c>
      <c r="AC41">
        <v>2.7950382925570327</v>
      </c>
      <c r="AF41" s="5">
        <v>0.48</v>
      </c>
      <c r="AG41">
        <f t="shared" si="9"/>
        <v>1.5</v>
      </c>
      <c r="AH41">
        <v>3.4790207184884023</v>
      </c>
    </row>
    <row r="42" spans="1:34" ht="15" x14ac:dyDescent="0.35">
      <c r="A42">
        <v>0.875</v>
      </c>
      <c r="B42" s="1">
        <v>1.8034690225203316</v>
      </c>
      <c r="C42">
        <v>0.875</v>
      </c>
      <c r="D42" s="1">
        <v>2.3614284824008598</v>
      </c>
      <c r="E42" s="5">
        <v>0.19739999999999999</v>
      </c>
      <c r="F42">
        <f t="shared" si="5"/>
        <v>0.875</v>
      </c>
      <c r="G42">
        <v>3.2520020104777867</v>
      </c>
      <c r="H42">
        <v>0.19739999999999999</v>
      </c>
      <c r="I42">
        <f t="shared" si="6"/>
        <v>0.875</v>
      </c>
      <c r="J42" s="1">
        <v>4.3200073699455253</v>
      </c>
      <c r="K42">
        <v>0.875</v>
      </c>
      <c r="L42" s="1">
        <v>1.808142965523055</v>
      </c>
      <c r="N42">
        <v>0.87500000000000011</v>
      </c>
      <c r="O42" s="1">
        <v>1.675377223299334</v>
      </c>
      <c r="P42" s="1"/>
      <c r="Q42" s="5">
        <v>0.32</v>
      </c>
      <c r="R42">
        <f t="shared" si="4"/>
        <v>1</v>
      </c>
      <c r="S42" s="1">
        <v>1.6972821971108187</v>
      </c>
      <c r="W42" s="5">
        <v>0.32</v>
      </c>
      <c r="X42">
        <f t="shared" si="7"/>
        <v>1</v>
      </c>
      <c r="Y42" s="1">
        <v>2.220101255464801</v>
      </c>
      <c r="AA42" s="5">
        <v>0.28000000000000003</v>
      </c>
      <c r="AB42">
        <f t="shared" si="8"/>
        <v>0.87500000000000011</v>
      </c>
      <c r="AC42">
        <v>2.8648766550201659</v>
      </c>
      <c r="AF42" s="5">
        <v>0.56000000000000005</v>
      </c>
      <c r="AG42">
        <f t="shared" si="9"/>
        <v>1.7500000000000002</v>
      </c>
      <c r="AH42">
        <v>3.2987821977882033</v>
      </c>
    </row>
    <row r="43" spans="1:34" ht="15" x14ac:dyDescent="0.35">
      <c r="A43">
        <v>1</v>
      </c>
      <c r="B43" s="1">
        <v>1.798442828054023</v>
      </c>
      <c r="C43">
        <v>1</v>
      </c>
      <c r="D43" s="1">
        <v>2.3331025709458864</v>
      </c>
      <c r="E43" s="5">
        <v>0.22559999999999999</v>
      </c>
      <c r="F43">
        <f t="shared" si="5"/>
        <v>1</v>
      </c>
      <c r="G43">
        <v>3.2352706084133889</v>
      </c>
      <c r="H43">
        <v>0.22559999999999999</v>
      </c>
      <c r="I43">
        <f t="shared" si="6"/>
        <v>1</v>
      </c>
      <c r="J43" s="1">
        <v>4.322039524042415</v>
      </c>
      <c r="K43">
        <v>1</v>
      </c>
      <c r="L43" s="1">
        <v>1.7997133945882156</v>
      </c>
      <c r="N43">
        <v>1</v>
      </c>
      <c r="O43" s="1">
        <v>1.6627328668970749</v>
      </c>
      <c r="P43" s="1"/>
      <c r="Q43" s="5">
        <v>0.36</v>
      </c>
      <c r="R43">
        <f t="shared" si="4"/>
        <v>1.125</v>
      </c>
      <c r="S43" s="1">
        <v>1.6834906446399225</v>
      </c>
      <c r="W43" s="5">
        <v>0.36</v>
      </c>
      <c r="X43">
        <f t="shared" si="7"/>
        <v>1.125</v>
      </c>
      <c r="Y43" s="1">
        <v>2.2051581490056669</v>
      </c>
      <c r="AA43" s="5">
        <v>0.32</v>
      </c>
      <c r="AB43">
        <f t="shared" si="8"/>
        <v>1</v>
      </c>
      <c r="AC43">
        <v>2.8497574285393013</v>
      </c>
      <c r="AF43" s="5">
        <v>0.64</v>
      </c>
      <c r="AG43">
        <f t="shared" si="9"/>
        <v>2</v>
      </c>
      <c r="AH43">
        <v>3.1492562993390076</v>
      </c>
    </row>
    <row r="44" spans="1:34" ht="15" x14ac:dyDescent="0.35">
      <c r="A44">
        <v>1.1250000000000002</v>
      </c>
      <c r="B44" s="1">
        <v>1.782808789201946</v>
      </c>
      <c r="C44">
        <v>1.1250000000000002</v>
      </c>
      <c r="D44" s="1">
        <v>2.3575155154965297</v>
      </c>
      <c r="E44" s="5">
        <v>0.25380000000000003</v>
      </c>
      <c r="F44">
        <f t="shared" si="5"/>
        <v>1.1250000000000002</v>
      </c>
      <c r="G44">
        <v>3.187122104011066</v>
      </c>
      <c r="H44">
        <v>0.25380000000000003</v>
      </c>
      <c r="I44">
        <f t="shared" si="6"/>
        <v>1.1250000000000002</v>
      </c>
      <c r="J44" s="1">
        <v>4.2678893912072757</v>
      </c>
      <c r="K44">
        <v>1.1250000000000002</v>
      </c>
      <c r="L44" s="1">
        <v>1.7728062041642001</v>
      </c>
      <c r="N44">
        <v>1.125</v>
      </c>
      <c r="O44" s="1">
        <v>1.631121975891427</v>
      </c>
      <c r="P44" s="1"/>
      <c r="Q44" s="5">
        <v>0.39999999999999997</v>
      </c>
      <c r="R44">
        <f t="shared" si="4"/>
        <v>1.2499999999999998</v>
      </c>
      <c r="S44" s="1">
        <v>1.6623020512563453</v>
      </c>
      <c r="W44" s="5">
        <v>0.4</v>
      </c>
      <c r="X44">
        <f t="shared" si="7"/>
        <v>1.25</v>
      </c>
      <c r="Y44" s="1">
        <v>2.1723998249637937</v>
      </c>
      <c r="AA44" s="5">
        <v>0.36</v>
      </c>
      <c r="AB44">
        <f t="shared" si="8"/>
        <v>1.125</v>
      </c>
      <c r="AC44">
        <v>2.8732491298993543</v>
      </c>
      <c r="AF44" s="5">
        <v>0.72</v>
      </c>
      <c r="AG44">
        <f t="shared" si="9"/>
        <v>2.25</v>
      </c>
      <c r="AH44">
        <v>3.1781806259847478</v>
      </c>
    </row>
    <row r="45" spans="1:34" ht="15" x14ac:dyDescent="0.35">
      <c r="A45">
        <v>1.25</v>
      </c>
      <c r="B45" s="1">
        <v>1.7622027466594772</v>
      </c>
      <c r="C45">
        <v>1.25</v>
      </c>
      <c r="D45" s="1">
        <v>2.3427349813651466</v>
      </c>
      <c r="E45" s="5">
        <v>0.28199999999999997</v>
      </c>
      <c r="F45">
        <f t="shared" si="5"/>
        <v>1.25</v>
      </c>
      <c r="G45">
        <v>3.1222015544624075</v>
      </c>
      <c r="H45">
        <v>0.28199999999999997</v>
      </c>
      <c r="I45">
        <f t="shared" si="6"/>
        <v>1.25</v>
      </c>
      <c r="J45" s="1">
        <v>4.1625289751304981</v>
      </c>
      <c r="K45">
        <v>1.25</v>
      </c>
      <c r="L45" s="1">
        <v>1.763887718115148</v>
      </c>
      <c r="N45">
        <v>1.2499999999999998</v>
      </c>
      <c r="O45" s="1">
        <v>1.6226924049565878</v>
      </c>
      <c r="P45" s="1"/>
      <c r="Q45" s="5">
        <v>0.43999999999999995</v>
      </c>
      <c r="R45">
        <f t="shared" si="4"/>
        <v>1.3749999999999998</v>
      </c>
      <c r="S45" s="1">
        <v>1.6412489348125607</v>
      </c>
      <c r="W45" s="5">
        <v>0.44</v>
      </c>
      <c r="X45">
        <f t="shared" si="7"/>
        <v>1.375</v>
      </c>
      <c r="Y45" s="1">
        <v>2.1312283829607943</v>
      </c>
      <c r="AA45" s="5">
        <v>0.4</v>
      </c>
      <c r="AB45">
        <f t="shared" si="8"/>
        <v>1.25</v>
      </c>
      <c r="AC45">
        <v>2.8009992779079109</v>
      </c>
      <c r="AF45" s="5">
        <v>0.8</v>
      </c>
      <c r="AG45">
        <f t="shared" si="9"/>
        <v>2.5</v>
      </c>
      <c r="AH45">
        <v>3.195237172704648</v>
      </c>
    </row>
    <row r="46" spans="1:34" ht="15" x14ac:dyDescent="0.35">
      <c r="A46">
        <v>1.375</v>
      </c>
      <c r="B46" s="1">
        <v>1.7451597476335565</v>
      </c>
      <c r="C46">
        <v>1.375</v>
      </c>
      <c r="D46" s="1">
        <v>2.3065761861344773</v>
      </c>
      <c r="E46" s="5">
        <v>0.31019999999999998</v>
      </c>
      <c r="F46">
        <f t="shared" si="5"/>
        <v>1.375</v>
      </c>
      <c r="G46">
        <v>3.0565087863569302</v>
      </c>
      <c r="H46">
        <v>0.31019999999999998</v>
      </c>
      <c r="I46">
        <f t="shared" si="6"/>
        <v>1.375</v>
      </c>
      <c r="J46" s="1">
        <v>4.0832885130457521</v>
      </c>
      <c r="K46">
        <v>1.375</v>
      </c>
      <c r="L46" s="1">
        <v>1.7512433617128889</v>
      </c>
      <c r="N46">
        <v>1.3749999999999998</v>
      </c>
      <c r="O46" s="1">
        <v>1.6016184776194893</v>
      </c>
      <c r="P46" s="1"/>
      <c r="Q46" s="5">
        <v>0.47999999999999993</v>
      </c>
      <c r="R46">
        <f t="shared" si="4"/>
        <v>1.4999999999999998</v>
      </c>
      <c r="S46" s="1">
        <v>1.6240840065408266</v>
      </c>
      <c r="W46" s="5">
        <v>0.48</v>
      </c>
      <c r="X46">
        <f t="shared" si="7"/>
        <v>1.5</v>
      </c>
      <c r="Y46" s="1">
        <v>2.0898401778541267</v>
      </c>
      <c r="AA46" s="5">
        <v>0.44</v>
      </c>
      <c r="AB46">
        <f t="shared" si="8"/>
        <v>1.375</v>
      </c>
      <c r="AC46">
        <v>2.7648269349832617</v>
      </c>
      <c r="AF46" s="5">
        <v>0.88</v>
      </c>
      <c r="AG46">
        <f t="shared" si="9"/>
        <v>2.75</v>
      </c>
      <c r="AH46">
        <v>3.2974545237782351</v>
      </c>
    </row>
    <row r="47" spans="1:34" ht="15" x14ac:dyDescent="0.35">
      <c r="A47">
        <v>1.5</v>
      </c>
      <c r="B47" s="1">
        <v>1.7369362973881401</v>
      </c>
      <c r="C47">
        <v>1.5</v>
      </c>
      <c r="D47" s="1">
        <v>2.25217811695182</v>
      </c>
      <c r="E47" s="5">
        <v>0.33839999999999998</v>
      </c>
      <c r="F47">
        <f t="shared" si="5"/>
        <v>1.5</v>
      </c>
      <c r="G47">
        <v>2.9965602404986638</v>
      </c>
      <c r="H47">
        <v>0.33839999999999998</v>
      </c>
      <c r="I47">
        <f t="shared" si="6"/>
        <v>1.5</v>
      </c>
      <c r="J47" s="1">
        <v>3.9962310315349674</v>
      </c>
      <c r="K47">
        <v>1.5</v>
      </c>
      <c r="L47" s="1">
        <v>1.7449211835117591</v>
      </c>
      <c r="N47">
        <v>1.4999999999999998</v>
      </c>
      <c r="O47" s="1">
        <v>1.5889741212172301</v>
      </c>
      <c r="P47" s="1"/>
      <c r="Q47" s="5">
        <v>0.51999999999999991</v>
      </c>
      <c r="R47">
        <f t="shared" si="4"/>
        <v>1.6249999999999998</v>
      </c>
      <c r="S47" s="1">
        <v>1.6133271375212868</v>
      </c>
      <c r="W47" s="5">
        <v>0.52</v>
      </c>
      <c r="X47">
        <f t="shared" si="7"/>
        <v>1.625</v>
      </c>
      <c r="Y47" s="1">
        <v>2.0590327217452682</v>
      </c>
      <c r="AA47" s="5">
        <v>0.48</v>
      </c>
      <c r="AB47">
        <f t="shared" si="8"/>
        <v>1.5</v>
      </c>
      <c r="AC47">
        <v>2.6775526903688087</v>
      </c>
      <c r="AF47" s="5">
        <v>0.96</v>
      </c>
      <c r="AG47">
        <f t="shared" si="9"/>
        <v>3</v>
      </c>
      <c r="AH47">
        <v>3.500168668790042</v>
      </c>
    </row>
    <row r="48" spans="1:34" ht="15" x14ac:dyDescent="0.35">
      <c r="A48">
        <v>1.625</v>
      </c>
      <c r="B48" s="1">
        <v>1.7295121610875004</v>
      </c>
      <c r="C48">
        <v>1.625</v>
      </c>
      <c r="D48" s="1">
        <v>2.2618010575329923</v>
      </c>
      <c r="E48" s="5">
        <v>0.36659999999999998</v>
      </c>
      <c r="F48">
        <f t="shared" si="5"/>
        <v>1.625</v>
      </c>
      <c r="G48">
        <v>2.9757264612204</v>
      </c>
      <c r="H48">
        <v>0.36659999999999998</v>
      </c>
      <c r="I48">
        <f t="shared" si="6"/>
        <v>1.625</v>
      </c>
      <c r="J48" s="1">
        <v>3.9346070423622801</v>
      </c>
      <c r="K48">
        <v>1.625</v>
      </c>
      <c r="L48" s="1">
        <v>1.7385990053106297</v>
      </c>
      <c r="N48">
        <v>1.6249999999999998</v>
      </c>
      <c r="O48" s="1">
        <v>1.5815560987945714</v>
      </c>
      <c r="P48" s="1"/>
      <c r="Q48" s="5">
        <v>0.55999999999999994</v>
      </c>
      <c r="R48">
        <f t="shared" si="4"/>
        <v>1.7499999999999998</v>
      </c>
      <c r="S48" s="1">
        <v>1.6064449089798181</v>
      </c>
      <c r="W48" s="5">
        <v>0.56000000000000005</v>
      </c>
      <c r="X48">
        <f t="shared" si="7"/>
        <v>1.7500000000000002</v>
      </c>
      <c r="Y48" s="1">
        <v>2.0382505591810691</v>
      </c>
      <c r="AA48" s="5">
        <v>0.52</v>
      </c>
      <c r="AB48">
        <f t="shared" si="8"/>
        <v>1.625</v>
      </c>
      <c r="AC48">
        <v>2.6339968542254582</v>
      </c>
      <c r="AF48" s="5">
        <v>1.04</v>
      </c>
      <c r="AG48">
        <f t="shared" si="9"/>
        <v>3.25</v>
      </c>
      <c r="AH48">
        <v>3.887849479700813</v>
      </c>
    </row>
    <row r="49" spans="1:34" ht="15" x14ac:dyDescent="0.35">
      <c r="A49">
        <v>1.7411347517730495</v>
      </c>
      <c r="B49" s="1">
        <v>1.722643480240011</v>
      </c>
      <c r="C49">
        <v>1.75</v>
      </c>
      <c r="D49" s="1">
        <v>2.2482940066356605</v>
      </c>
      <c r="E49" s="5">
        <v>0.39479999999999998</v>
      </c>
      <c r="F49">
        <f t="shared" si="5"/>
        <v>1.75</v>
      </c>
      <c r="G49">
        <v>2.9321138602392791</v>
      </c>
      <c r="H49">
        <v>0.39479999999999998</v>
      </c>
      <c r="I49">
        <f t="shared" si="6"/>
        <v>1.75</v>
      </c>
      <c r="J49" s="1">
        <v>3.8559040172976955</v>
      </c>
      <c r="K49">
        <v>1.75</v>
      </c>
      <c r="L49" s="1">
        <v>1.7322768271095004</v>
      </c>
      <c r="N49">
        <v>1.7499999999999998</v>
      </c>
      <c r="O49" s="1">
        <v>1.576329764814971</v>
      </c>
      <c r="P49" s="1"/>
      <c r="Q49" s="5">
        <v>0.6</v>
      </c>
      <c r="R49">
        <f t="shared" si="4"/>
        <v>1.875</v>
      </c>
      <c r="S49" s="1">
        <v>1.6019877176606383</v>
      </c>
      <c r="W49" s="5">
        <v>0.6</v>
      </c>
      <c r="X49">
        <f t="shared" si="7"/>
        <v>1.875</v>
      </c>
      <c r="Y49" s="1">
        <v>2.024784151365675</v>
      </c>
      <c r="AA49" s="5">
        <v>0.56000000000000005</v>
      </c>
      <c r="AB49">
        <f t="shared" si="8"/>
        <v>1.7500000000000002</v>
      </c>
      <c r="AC49">
        <v>2.593137009183982</v>
      </c>
      <c r="AF49" s="5">
        <v>1.08</v>
      </c>
      <c r="AG49">
        <f t="shared" si="9"/>
        <v>3.375</v>
      </c>
      <c r="AH49">
        <v>4.1171983910758634</v>
      </c>
    </row>
    <row r="50" spans="1:34" ht="15" x14ac:dyDescent="0.35">
      <c r="A50">
        <v>1.875</v>
      </c>
      <c r="B50" s="1">
        <v>1.7217628801313583</v>
      </c>
      <c r="C50">
        <v>1.875</v>
      </c>
      <c r="D50" s="1">
        <v>2.2408021318651246</v>
      </c>
      <c r="E50" s="5">
        <v>0.42299999999999999</v>
      </c>
      <c r="F50">
        <f t="shared" si="5"/>
        <v>1.875</v>
      </c>
      <c r="G50">
        <v>2.9175500892115651</v>
      </c>
      <c r="H50">
        <v>0.42299999999999999</v>
      </c>
      <c r="I50">
        <f t="shared" si="6"/>
        <v>1.875</v>
      </c>
      <c r="J50" s="1">
        <v>3.85</v>
      </c>
      <c r="K50">
        <v>1.875</v>
      </c>
      <c r="L50" s="1">
        <v>1.7259546489083706</v>
      </c>
      <c r="N50">
        <v>1.875</v>
      </c>
      <c r="O50" s="1">
        <v>1.5742223720812611</v>
      </c>
      <c r="P50" s="1"/>
      <c r="Q50" s="5">
        <v>0.68</v>
      </c>
      <c r="R50">
        <f t="shared" si="4"/>
        <v>2.125</v>
      </c>
      <c r="S50" s="1">
        <v>1.59713764321606</v>
      </c>
      <c r="W50" s="5">
        <v>0.64</v>
      </c>
      <c r="X50">
        <f t="shared" si="7"/>
        <v>2</v>
      </c>
      <c r="Y50" s="1">
        <v>2.0187825229328591</v>
      </c>
      <c r="AA50" s="5">
        <v>0.6</v>
      </c>
      <c r="AB50">
        <f t="shared" si="8"/>
        <v>1.875</v>
      </c>
      <c r="AC50">
        <v>2.5614895960484088</v>
      </c>
      <c r="AF50" s="5">
        <v>1.1200000000000001</v>
      </c>
      <c r="AG50">
        <f t="shared" si="9"/>
        <v>3.5000000000000004</v>
      </c>
      <c r="AH50">
        <v>4.3407895325097234</v>
      </c>
    </row>
    <row r="51" spans="1:34" ht="15" x14ac:dyDescent="0.35">
      <c r="A51">
        <v>2</v>
      </c>
      <c r="B51" s="1">
        <v>1.716614756419236</v>
      </c>
      <c r="C51">
        <v>2</v>
      </c>
      <c r="D51" s="1">
        <v>2.2380519499873328</v>
      </c>
      <c r="E51" s="5">
        <v>0.45119999999999999</v>
      </c>
      <c r="F51">
        <f t="shared" si="5"/>
        <v>2</v>
      </c>
      <c r="G51">
        <v>2.9097195220915473</v>
      </c>
      <c r="H51">
        <v>0.45119999999999999</v>
      </c>
      <c r="I51">
        <f t="shared" si="6"/>
        <v>2</v>
      </c>
      <c r="J51" s="1">
        <v>3.7861469409984378</v>
      </c>
      <c r="K51">
        <v>2</v>
      </c>
      <c r="L51" s="1">
        <v>1.7196324707072412</v>
      </c>
      <c r="N51">
        <v>2</v>
      </c>
      <c r="O51" s="1">
        <v>1.5700075866138412</v>
      </c>
      <c r="P51" s="1"/>
      <c r="Q51" s="5">
        <v>0.72000000000000008</v>
      </c>
      <c r="R51">
        <f t="shared" si="4"/>
        <v>2.25</v>
      </c>
      <c r="S51" s="1">
        <v>1.5891986945442083</v>
      </c>
      <c r="W51" s="5">
        <v>0.68</v>
      </c>
      <c r="X51">
        <f t="shared" si="7"/>
        <v>2.125</v>
      </c>
      <c r="Y51" s="1">
        <v>2.0141356638979695</v>
      </c>
      <c r="AA51" s="5">
        <v>0.64</v>
      </c>
      <c r="AB51">
        <f t="shared" si="8"/>
        <v>2</v>
      </c>
      <c r="AC51">
        <v>2.5443382154706535</v>
      </c>
      <c r="AF51" s="5"/>
    </row>
    <row r="52" spans="1:34" ht="15" x14ac:dyDescent="0.35">
      <c r="A52">
        <v>2.125</v>
      </c>
      <c r="B52" s="1">
        <v>1.7161134917420033</v>
      </c>
      <c r="C52">
        <v>2.125</v>
      </c>
      <c r="D52" s="1">
        <v>2.2196677292574645</v>
      </c>
      <c r="E52" s="5">
        <v>0.47939999999999999</v>
      </c>
      <c r="F52">
        <f t="shared" si="5"/>
        <v>2.125</v>
      </c>
      <c r="G52">
        <v>2.9054655461820569</v>
      </c>
      <c r="H52">
        <v>0.47939999999999999</v>
      </c>
      <c r="I52">
        <f t="shared" si="6"/>
        <v>2.125</v>
      </c>
      <c r="J52" s="1">
        <v>3.7853476270536608</v>
      </c>
      <c r="K52">
        <v>2.125</v>
      </c>
      <c r="L52" s="1">
        <v>1.70959200876675</v>
      </c>
      <c r="N52">
        <v>2.125</v>
      </c>
      <c r="O52" s="1">
        <v>1.5636854084127119</v>
      </c>
      <c r="P52" s="1"/>
      <c r="Q52" s="5">
        <v>0.76000000000000012</v>
      </c>
      <c r="R52">
        <f t="shared" si="4"/>
        <v>2.3750000000000004</v>
      </c>
      <c r="S52" s="1">
        <v>1.6004703759349601</v>
      </c>
      <c r="W52" s="5">
        <v>0.72</v>
      </c>
      <c r="X52">
        <f t="shared" si="7"/>
        <v>2.25</v>
      </c>
      <c r="Y52" s="1">
        <v>1.9904001040462898</v>
      </c>
      <c r="AA52" s="5">
        <v>0.68</v>
      </c>
      <c r="AB52">
        <f t="shared" si="8"/>
        <v>2.125</v>
      </c>
      <c r="AC52">
        <v>2.5391088055946556</v>
      </c>
      <c r="AF52" s="5"/>
    </row>
    <row r="53" spans="1:34" ht="15" x14ac:dyDescent="0.35">
      <c r="A53">
        <v>2.2500000000000004</v>
      </c>
      <c r="B53" s="1">
        <v>1.7128620451869785</v>
      </c>
      <c r="C53">
        <v>2.2500000000000004</v>
      </c>
      <c r="D53" s="1">
        <v>2.2308852198722993</v>
      </c>
      <c r="E53" s="5">
        <v>0.50760000000000005</v>
      </c>
      <c r="F53">
        <f t="shared" si="5"/>
        <v>2.2500000000000004</v>
      </c>
      <c r="G53">
        <v>2.9057771431435797</v>
      </c>
      <c r="H53">
        <v>0.50760000000000005</v>
      </c>
      <c r="I53">
        <f t="shared" si="6"/>
        <v>2.2500000000000004</v>
      </c>
      <c r="J53" s="1">
        <v>3.7855237470753913</v>
      </c>
      <c r="K53">
        <v>2.2500000000000004</v>
      </c>
      <c r="L53" s="1">
        <v>1.7133102925061114</v>
      </c>
      <c r="N53">
        <v>2.25</v>
      </c>
      <c r="O53" s="1">
        <v>1.5700075866138412</v>
      </c>
      <c r="P53" s="1"/>
      <c r="Q53" s="5">
        <v>0.80000000000000016</v>
      </c>
      <c r="R53">
        <f t="shared" si="4"/>
        <v>2.5000000000000004</v>
      </c>
      <c r="S53" s="1">
        <v>1.6131645651935356</v>
      </c>
      <c r="W53" s="5">
        <v>0.76</v>
      </c>
      <c r="X53">
        <f t="shared" si="7"/>
        <v>2.375</v>
      </c>
      <c r="Y53" s="1">
        <v>2.019541193795698</v>
      </c>
      <c r="AA53" s="5">
        <v>0.72</v>
      </c>
      <c r="AB53">
        <f t="shared" si="8"/>
        <v>2.25</v>
      </c>
      <c r="AC53">
        <v>2.5377946792786665</v>
      </c>
    </row>
    <row r="54" spans="1:34" ht="15" x14ac:dyDescent="0.35">
      <c r="A54">
        <v>2.3750000000000004</v>
      </c>
      <c r="B54" s="1">
        <v>1.7174005226700335</v>
      </c>
      <c r="C54">
        <v>2.5</v>
      </c>
      <c r="D54" s="1">
        <v>2.2370087775509293</v>
      </c>
      <c r="E54" s="5">
        <v>0.53580000000000005</v>
      </c>
      <c r="F54">
        <f t="shared" si="5"/>
        <v>2.3750000000000004</v>
      </c>
      <c r="G54">
        <v>2.91</v>
      </c>
      <c r="H54">
        <v>0.53580000000000005</v>
      </c>
      <c r="I54">
        <f t="shared" si="6"/>
        <v>2.3750000000000004</v>
      </c>
      <c r="J54" s="1">
        <v>3.789411935247442</v>
      </c>
      <c r="K54">
        <v>2.5</v>
      </c>
      <c r="L54" s="1">
        <v>1.690128972435303</v>
      </c>
      <c r="N54">
        <v>2.3750000000000004</v>
      </c>
      <c r="O54" s="1">
        <v>1.59108151395094</v>
      </c>
      <c r="P54" s="1"/>
      <c r="Q54" s="5">
        <v>0.84000000000000019</v>
      </c>
      <c r="R54">
        <f t="shared" si="4"/>
        <v>2.6250000000000004</v>
      </c>
      <c r="S54" s="1">
        <v>1.629692751848244</v>
      </c>
      <c r="W54" s="5">
        <v>0.8</v>
      </c>
      <c r="X54">
        <f t="shared" si="7"/>
        <v>2.5</v>
      </c>
      <c r="Y54" s="1">
        <v>2.0308535182683878</v>
      </c>
      <c r="AA54" s="5">
        <v>0.76</v>
      </c>
      <c r="AB54">
        <f t="shared" si="8"/>
        <v>2.375</v>
      </c>
      <c r="AC54">
        <v>2.5451781724973683</v>
      </c>
    </row>
    <row r="55" spans="1:34" ht="15" x14ac:dyDescent="0.35">
      <c r="A55">
        <v>2.5</v>
      </c>
      <c r="B55" s="1">
        <v>1.7220202863169645</v>
      </c>
      <c r="C55">
        <v>2.625</v>
      </c>
      <c r="D55" s="1">
        <v>2.2296930228021234</v>
      </c>
      <c r="E55" s="5">
        <v>0.56399999999999995</v>
      </c>
      <c r="F55">
        <f t="shared" si="5"/>
        <v>2.5</v>
      </c>
      <c r="G55">
        <v>2.9246355331627227</v>
      </c>
      <c r="H55">
        <v>0.56399999999999995</v>
      </c>
      <c r="I55">
        <f t="shared" si="6"/>
        <v>2.5</v>
      </c>
      <c r="J55" s="1">
        <v>3.7989901548907854</v>
      </c>
      <c r="K55">
        <v>2.625</v>
      </c>
      <c r="L55" s="1">
        <v>1.7196324707072412</v>
      </c>
      <c r="N55">
        <v>2.5000000000000004</v>
      </c>
      <c r="O55" s="1">
        <v>1.6100480485543287</v>
      </c>
      <c r="P55" s="1"/>
      <c r="Q55" s="5">
        <v>0.88000000000000023</v>
      </c>
      <c r="R55">
        <f t="shared" si="4"/>
        <v>2.7500000000000004</v>
      </c>
      <c r="S55" s="1">
        <v>1.6569371644405548</v>
      </c>
      <c r="W55" s="5">
        <v>0.84</v>
      </c>
      <c r="X55">
        <f t="shared" si="7"/>
        <v>2.625</v>
      </c>
      <c r="Y55" s="1">
        <v>2.0519201824061519</v>
      </c>
      <c r="AA55" s="5">
        <v>0.8</v>
      </c>
      <c r="AB55">
        <f t="shared" si="8"/>
        <v>2.5</v>
      </c>
      <c r="AC55">
        <v>2.5603651374481293</v>
      </c>
    </row>
    <row r="56" spans="1:34" ht="15" x14ac:dyDescent="0.35">
      <c r="A56">
        <v>2.625</v>
      </c>
      <c r="B56" s="1">
        <v>1.7097964309954901</v>
      </c>
      <c r="C56">
        <v>2.75</v>
      </c>
      <c r="D56" s="1">
        <v>2.2915517935114673</v>
      </c>
      <c r="E56" s="5">
        <v>0.59219999999999995</v>
      </c>
      <c r="F56">
        <f t="shared" si="5"/>
        <v>2.625</v>
      </c>
      <c r="G56">
        <v>2.9547853000000002</v>
      </c>
      <c r="H56">
        <v>0.59219999999999995</v>
      </c>
      <c r="I56">
        <f t="shared" si="6"/>
        <v>2.625</v>
      </c>
      <c r="J56" s="1">
        <v>3.8336316083957769</v>
      </c>
      <c r="K56">
        <v>2.75</v>
      </c>
      <c r="L56" s="1">
        <v>1.7259546489083706</v>
      </c>
      <c r="N56">
        <v>2.6250000000000004</v>
      </c>
      <c r="O56" s="1">
        <v>1.6374441540925568</v>
      </c>
      <c r="P56" s="1"/>
      <c r="Q56" s="5">
        <v>0.92000000000000026</v>
      </c>
      <c r="R56">
        <f t="shared" si="4"/>
        <v>2.8750000000000009</v>
      </c>
      <c r="S56" s="1">
        <v>1.7035954225051582</v>
      </c>
      <c r="W56" s="5">
        <v>0.88</v>
      </c>
      <c r="X56">
        <f t="shared" si="7"/>
        <v>2.75</v>
      </c>
      <c r="Y56" s="1">
        <v>2.0902601563674841</v>
      </c>
      <c r="AA56" s="5">
        <v>0.84</v>
      </c>
      <c r="AB56">
        <f t="shared" si="8"/>
        <v>2.625</v>
      </c>
      <c r="AC56">
        <v>2.5886933655587812</v>
      </c>
    </row>
    <row r="57" spans="1:34" ht="15" x14ac:dyDescent="0.35">
      <c r="A57">
        <v>2.75</v>
      </c>
      <c r="B57" s="1">
        <v>1.7411631779096723</v>
      </c>
      <c r="C57">
        <v>2.875</v>
      </c>
      <c r="D57" s="1">
        <v>2.3665924704626402</v>
      </c>
      <c r="E57" s="5">
        <v>0.62039999999999995</v>
      </c>
      <c r="F57">
        <f t="shared" si="5"/>
        <v>2.75</v>
      </c>
      <c r="G57">
        <v>3.0147276981248639</v>
      </c>
      <c r="H57">
        <v>0.62039999999999995</v>
      </c>
      <c r="I57">
        <f t="shared" si="6"/>
        <v>2.75</v>
      </c>
      <c r="J57" s="1">
        <v>3.8813059435088255</v>
      </c>
      <c r="K57">
        <v>2.875</v>
      </c>
      <c r="L57" s="1">
        <v>1.7449211835117591</v>
      </c>
      <c r="N57">
        <v>2.7500000000000004</v>
      </c>
      <c r="O57" s="1">
        <v>1.66838067942341</v>
      </c>
      <c r="P57" s="1"/>
      <c r="Q57" s="5">
        <v>0.9600000000000003</v>
      </c>
      <c r="R57">
        <f t="shared" si="4"/>
        <v>3.0000000000000009</v>
      </c>
      <c r="S57" s="1">
        <v>1.7688682120972781</v>
      </c>
      <c r="W57" s="5">
        <v>0.92</v>
      </c>
      <c r="X57">
        <f t="shared" si="7"/>
        <v>2.875</v>
      </c>
      <c r="Y57" s="1">
        <v>2.1509131823126726</v>
      </c>
      <c r="AA57" s="5">
        <v>0.88</v>
      </c>
      <c r="AB57">
        <f t="shared" si="8"/>
        <v>2.75</v>
      </c>
      <c r="AC57">
        <v>2.6358664359945974</v>
      </c>
    </row>
    <row r="58" spans="1:34" ht="15" x14ac:dyDescent="0.35">
      <c r="A58">
        <v>2.875</v>
      </c>
      <c r="B58" s="1">
        <v>1.7701145999433705</v>
      </c>
      <c r="C58">
        <v>3</v>
      </c>
      <c r="D58" s="1">
        <v>2.5655132611602514</v>
      </c>
      <c r="E58" s="5">
        <v>0.64859999999999995</v>
      </c>
      <c r="F58">
        <f>E58/0.2256</f>
        <v>2.875</v>
      </c>
      <c r="G58">
        <v>3.1128265502287529</v>
      </c>
      <c r="H58">
        <v>0.64859999999999995</v>
      </c>
      <c r="I58">
        <f t="shared" si="6"/>
        <v>2.875</v>
      </c>
      <c r="J58" s="1">
        <v>3.9621450334831256</v>
      </c>
      <c r="K58">
        <v>3</v>
      </c>
      <c r="L58" s="1">
        <v>1.7744246817836973</v>
      </c>
      <c r="N58">
        <v>2.8750000000000009</v>
      </c>
      <c r="O58" s="1">
        <v>1.69749135968979</v>
      </c>
      <c r="P58" s="1"/>
      <c r="Q58" s="5">
        <v>1.0000000000000002</v>
      </c>
      <c r="R58">
        <f t="shared" si="4"/>
        <v>3.1250000000000004</v>
      </c>
      <c r="S58" s="1">
        <v>1.8575920599675124</v>
      </c>
      <c r="W58" s="5">
        <v>0.96</v>
      </c>
      <c r="X58">
        <f t="shared" si="7"/>
        <v>3</v>
      </c>
      <c r="Y58" s="1">
        <v>2.2439451968683151</v>
      </c>
      <c r="AA58" s="5">
        <v>0.92</v>
      </c>
      <c r="AB58">
        <f t="shared" si="8"/>
        <v>2.875</v>
      </c>
      <c r="AC58">
        <v>2.7116251407266709</v>
      </c>
    </row>
    <row r="59" spans="1:34" ht="15" x14ac:dyDescent="0.35">
      <c r="A59">
        <v>3</v>
      </c>
      <c r="B59" s="1">
        <v>1.8259581945259189</v>
      </c>
      <c r="C59">
        <v>3.125</v>
      </c>
      <c r="D59" s="1">
        <v>2.8049039400758402</v>
      </c>
      <c r="E59" s="5">
        <v>0.67679999999999996</v>
      </c>
      <c r="F59">
        <f t="shared" si="5"/>
        <v>3</v>
      </c>
      <c r="G59">
        <v>3.2661999937680606</v>
      </c>
      <c r="H59">
        <v>0.67679999999999996</v>
      </c>
      <c r="I59">
        <f t="shared" si="6"/>
        <v>3</v>
      </c>
      <c r="J59" s="1">
        <v>4.1177944896109508</v>
      </c>
      <c r="K59">
        <v>3.125</v>
      </c>
      <c r="L59" s="1">
        <v>1.8608142965523</v>
      </c>
      <c r="N59">
        <v>3.0000000000000009</v>
      </c>
      <c r="O59" s="1">
        <v>1.7483975385652799</v>
      </c>
      <c r="P59" s="1"/>
      <c r="Q59" s="5">
        <v>1.0400000000000003</v>
      </c>
      <c r="R59">
        <f t="shared" si="4"/>
        <v>3.2500000000000009</v>
      </c>
      <c r="S59" s="1">
        <v>1.9594300756096803</v>
      </c>
      <c r="W59" s="5">
        <v>1</v>
      </c>
      <c r="X59">
        <f t="shared" si="7"/>
        <v>3.125</v>
      </c>
      <c r="Y59" s="1">
        <v>2.3353108450645075</v>
      </c>
      <c r="AA59" s="5">
        <v>0.96</v>
      </c>
      <c r="AB59">
        <f t="shared" si="8"/>
        <v>3</v>
      </c>
      <c r="AC59">
        <v>2.7973131671392499</v>
      </c>
    </row>
    <row r="60" spans="1:34" ht="15" x14ac:dyDescent="0.35">
      <c r="A60">
        <v>3.125</v>
      </c>
      <c r="B60" s="1">
        <v>1.9010395145590291</v>
      </c>
      <c r="C60">
        <v>3.25</v>
      </c>
      <c r="D60" s="1">
        <v>3.00756652256436</v>
      </c>
      <c r="E60" s="5">
        <v>0.70499999999999996</v>
      </c>
      <c r="F60">
        <f t="shared" si="5"/>
        <v>3.125</v>
      </c>
      <c r="G60">
        <v>3.5005615519154412</v>
      </c>
      <c r="H60">
        <v>0.70499999999999996</v>
      </c>
      <c r="I60">
        <f t="shared" si="6"/>
        <v>3.125</v>
      </c>
      <c r="J60" s="1">
        <v>4.3530908386428999</v>
      </c>
      <c r="K60">
        <v>3.25</v>
      </c>
      <c r="L60" s="1">
        <v>1.9263553907106099</v>
      </c>
      <c r="N60">
        <v>3.1250000000000004</v>
      </c>
      <c r="O60" s="1">
        <v>1.81924049565877</v>
      </c>
      <c r="P60" s="6"/>
      <c r="Q60" s="5">
        <v>1.0800000000000003</v>
      </c>
      <c r="R60">
        <f t="shared" si="4"/>
        <v>3.3750000000000009</v>
      </c>
      <c r="S60" s="1">
        <v>2.034822992604314</v>
      </c>
      <c r="W60" s="5">
        <v>1.04</v>
      </c>
      <c r="X60">
        <f t="shared" si="7"/>
        <v>3.25</v>
      </c>
      <c r="Y60" s="1">
        <v>2.5406396950143133</v>
      </c>
      <c r="AA60" s="5">
        <v>1</v>
      </c>
      <c r="AB60">
        <f t="shared" si="8"/>
        <v>3.125</v>
      </c>
      <c r="AC60">
        <v>2.9945958248716695</v>
      </c>
    </row>
    <row r="61" spans="1:34" ht="15" x14ac:dyDescent="0.35">
      <c r="A61">
        <v>3.25</v>
      </c>
      <c r="B61" s="1">
        <v>1.9944670811357801</v>
      </c>
      <c r="C61">
        <v>3.375</v>
      </c>
      <c r="D61" s="1">
        <v>3.154201207641441</v>
      </c>
      <c r="E61" s="5">
        <v>0.73319999999999996</v>
      </c>
      <c r="F61">
        <f t="shared" si="5"/>
        <v>3.25</v>
      </c>
      <c r="G61">
        <v>3.8370456272785529</v>
      </c>
      <c r="H61">
        <v>0.73319999999999996</v>
      </c>
      <c r="I61">
        <f t="shared" si="6"/>
        <v>3.25</v>
      </c>
      <c r="J61" s="1">
        <v>4.6443256161152533</v>
      </c>
      <c r="K61">
        <v>3.375</v>
      </c>
      <c r="L61" s="1">
        <v>2.0182404956587701</v>
      </c>
      <c r="N61">
        <v>3.2500000000000009</v>
      </c>
      <c r="O61" s="1">
        <v>1.8902556604568801</v>
      </c>
      <c r="P61" s="6"/>
      <c r="Q61" s="5">
        <v>1.1200000000000003</v>
      </c>
      <c r="R61">
        <f t="shared" si="4"/>
        <v>3.5000000000000009</v>
      </c>
      <c r="S61" s="1">
        <v>2.0869369612251401</v>
      </c>
      <c r="W61" s="5">
        <v>1.08</v>
      </c>
      <c r="X61">
        <f t="shared" si="7"/>
        <v>3.375</v>
      </c>
      <c r="Y61" s="1">
        <v>2.7238180653080133</v>
      </c>
      <c r="AA61" s="5">
        <v>1.04</v>
      </c>
      <c r="AB61">
        <f t="shared" si="8"/>
        <v>3.25</v>
      </c>
      <c r="AC61">
        <v>3.2098551345082798</v>
      </c>
    </row>
    <row r="62" spans="1:34" ht="15" x14ac:dyDescent="0.35">
      <c r="A62">
        <v>3.375</v>
      </c>
      <c r="B62" s="1">
        <v>2.12063942406043</v>
      </c>
      <c r="C62">
        <v>3.5</v>
      </c>
      <c r="D62" s="1">
        <v>3.2518738398093499</v>
      </c>
      <c r="E62">
        <f>E61+0.0282</f>
        <v>0.76139999999999997</v>
      </c>
      <c r="F62">
        <f t="shared" si="5"/>
        <v>3.375</v>
      </c>
      <c r="G62">
        <v>4.215229504709856</v>
      </c>
      <c r="H62">
        <f>H61+0.0282</f>
        <v>0.76139999999999997</v>
      </c>
      <c r="I62">
        <f t="shared" si="6"/>
        <v>3.375</v>
      </c>
      <c r="J62" s="1">
        <v>4.8971662288503559</v>
      </c>
      <c r="K62">
        <v>3.5</v>
      </c>
      <c r="L62" s="1">
        <v>2.08085450560566</v>
      </c>
      <c r="N62">
        <v>3.3750000000000009</v>
      </c>
      <c r="O62" s="1">
        <v>1.9409087077467757</v>
      </c>
      <c r="P62" s="6"/>
      <c r="Q62" s="5"/>
      <c r="S62" s="1"/>
      <c r="W62" s="5">
        <v>1.1200000000000001</v>
      </c>
      <c r="X62">
        <f t="shared" si="7"/>
        <v>3.5000000000000004</v>
      </c>
      <c r="Y62" s="1">
        <v>2.8804565030963256</v>
      </c>
      <c r="AA62" s="5">
        <v>1.08</v>
      </c>
      <c r="AB62">
        <f t="shared" si="8"/>
        <v>3.375</v>
      </c>
      <c r="AC62">
        <v>3.4192618403458459</v>
      </c>
    </row>
    <row r="63" spans="1:34" ht="15" x14ac:dyDescent="0.35">
      <c r="A63">
        <v>3.5</v>
      </c>
      <c r="B63" s="1">
        <v>2.2406394240604302</v>
      </c>
      <c r="E63">
        <f>E62+0.0282</f>
        <v>0.78959999999999997</v>
      </c>
      <c r="F63">
        <f t="shared" si="5"/>
        <v>3.5</v>
      </c>
      <c r="G63">
        <v>4.4922527511979551</v>
      </c>
      <c r="H63">
        <f>H62+0.0282</f>
        <v>0.78959999999999997</v>
      </c>
      <c r="I63">
        <f t="shared" si="6"/>
        <v>3.5</v>
      </c>
      <c r="J63" s="1">
        <v>5.0434135853565678</v>
      </c>
      <c r="N63">
        <v>3.5000000000000009</v>
      </c>
      <c r="O63" s="1">
        <v>1.97156705723679</v>
      </c>
      <c r="P63" s="1"/>
      <c r="Q63" s="5"/>
      <c r="S63" s="1"/>
      <c r="U63" s="5"/>
      <c r="AA63" s="5">
        <v>1.1200000000000001</v>
      </c>
      <c r="AB63">
        <f t="shared" si="8"/>
        <v>3.5000000000000004</v>
      </c>
      <c r="AC63">
        <v>3.5369799999999998</v>
      </c>
    </row>
    <row r="64" spans="1:34" ht="15" x14ac:dyDescent="0.35">
      <c r="Q64" s="5"/>
      <c r="S64" s="1"/>
      <c r="U64" s="5"/>
    </row>
    <row r="65" spans="16:21" ht="15" x14ac:dyDescent="0.35">
      <c r="P65" s="1"/>
      <c r="U65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Iresh</dc:creator>
  <cp:lastModifiedBy>Nikhil Iresh</cp:lastModifiedBy>
  <dcterms:created xsi:type="dcterms:W3CDTF">2025-08-30T13:28:56Z</dcterms:created>
  <dcterms:modified xsi:type="dcterms:W3CDTF">2025-11-03T15:59:04Z</dcterms:modified>
</cp:coreProperties>
</file>