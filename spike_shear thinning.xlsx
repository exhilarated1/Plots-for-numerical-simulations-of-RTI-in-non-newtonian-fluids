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4074B4C9-5E55-4B08-A74F-C837CFA3B5AB}" xr6:coauthVersionLast="47" xr6:coauthVersionMax="47" xr10:uidLastSave="{00000000-0000-0000-0000-000000000000}"/>
  <bookViews>
    <workbookView xWindow="-108" yWindow="-108" windowWidth="23256" windowHeight="12456" xr2:uid="{AC01C8D0-6B61-45BA-8EBD-3EE062569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5" i="1" l="1"/>
  <c r="AD35" i="1"/>
  <c r="U35" i="1"/>
  <c r="L35" i="1"/>
  <c r="C35" i="1"/>
  <c r="AV1" i="1"/>
  <c r="AM1" i="1"/>
  <c r="AD1" i="1"/>
  <c r="U1" i="1"/>
  <c r="L1" i="1"/>
  <c r="C1" i="1"/>
  <c r="AZ26" i="1" l="1"/>
  <c r="G15" i="1"/>
  <c r="G17" i="1"/>
  <c r="G20" i="1"/>
  <c r="G13" i="1"/>
  <c r="G11" i="1"/>
  <c r="G12" i="1"/>
  <c r="G14" i="1"/>
  <c r="G16" i="1"/>
  <c r="G18" i="1"/>
  <c r="Y12" i="1"/>
  <c r="Y25" i="1"/>
  <c r="Y26" i="1"/>
  <c r="Y27" i="1"/>
  <c r="Y28" i="1"/>
  <c r="Y29" i="1"/>
  <c r="Y4" i="1"/>
  <c r="Y5" i="1"/>
  <c r="Y6" i="1"/>
  <c r="Y7" i="1"/>
  <c r="Y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3" i="1"/>
  <c r="Y24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H14" i="1"/>
  <c r="AH15" i="1"/>
  <c r="AH16" i="1"/>
  <c r="AH17" i="1"/>
  <c r="AH5" i="1"/>
  <c r="AH6" i="1"/>
  <c r="AH7" i="1"/>
  <c r="AH8" i="1"/>
  <c r="AH9" i="1"/>
  <c r="AH10" i="1"/>
  <c r="AH11" i="1"/>
  <c r="AH12" i="1"/>
  <c r="AH13" i="1"/>
  <c r="AH4" i="1"/>
  <c r="G5" i="1"/>
  <c r="G6" i="1"/>
  <c r="G7" i="1"/>
  <c r="G8" i="1"/>
  <c r="P39" i="1"/>
  <c r="G39" i="1"/>
  <c r="G40" i="1"/>
  <c r="G41" i="1"/>
  <c r="AH39" i="1"/>
  <c r="AH40" i="1"/>
  <c r="AH41" i="1"/>
  <c r="AH42" i="1"/>
  <c r="AH43" i="1"/>
  <c r="AH38" i="1"/>
  <c r="P4" i="1"/>
  <c r="P5" i="1"/>
  <c r="P6" i="1"/>
  <c r="AR39" i="1" l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38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7" i="1"/>
  <c r="AZ28" i="1"/>
  <c r="AZ29" i="1"/>
  <c r="AZ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4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38" i="1"/>
  <c r="AQ38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38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38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" i="1"/>
  <c r="Y3" i="1"/>
  <c r="G4" i="1"/>
  <c r="G9" i="1"/>
  <c r="G10" i="1"/>
  <c r="G19" i="1"/>
  <c r="G21" i="1"/>
  <c r="G22" i="1"/>
  <c r="G23" i="1"/>
  <c r="G24" i="1"/>
  <c r="G25" i="1"/>
  <c r="G26" i="1"/>
  <c r="G27" i="1"/>
  <c r="G28" i="1"/>
  <c r="G29" i="1"/>
  <c r="G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L29" i="1" l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C29" i="1" l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AC3" i="1"/>
  <c r="T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4" i="1"/>
  <c r="B3" i="1"/>
</calcChain>
</file>

<file path=xl/sharedStrings.xml><?xml version="1.0" encoding="utf-8"?>
<sst xmlns="http://schemas.openxmlformats.org/spreadsheetml/2006/main" count="86" uniqueCount="8">
  <si>
    <t>nu1</t>
  </si>
  <si>
    <t>U_Magnitude</t>
  </si>
  <si>
    <t>U_Y</t>
  </si>
  <si>
    <t>Y/W</t>
  </si>
  <si>
    <t>U/U0</t>
  </si>
  <si>
    <r>
      <t>n1/K</t>
    </r>
    <r>
      <rPr>
        <vertAlign val="subscript"/>
        <sz val="11"/>
        <color theme="1"/>
        <rFont val="Calibri"/>
        <family val="2"/>
        <scheme val="minor"/>
      </rPr>
      <t>3</t>
    </r>
  </si>
  <si>
    <t>T(sec)</t>
  </si>
  <si>
    <t>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</si>
</sst>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vertAlign val="subscript"/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335-EF93-4673-A1CB-CF5010343683}">
  <dimension ref="A1:AZ70"/>
  <sheetViews>
    <sheetView tabSelected="1" zoomScale="60" zoomScaleNormal="132" workbookViewId="0">
      <selection activeCell="T35" sqref="T35"/>
    </sheetView>
  </sheetViews>
  <sheetFormatPr defaultRowHeight="14.4" x14ac:dyDescent="0.3"/>
  <sheetData>
    <row r="1" spans="1:52" ht="25.2" x14ac:dyDescent="0.45">
      <c r="C1" s="4" t="str">
        <f>"Aₜ = 0.4, n = 0.8, K"&amp;_xlfn.UNICHAR(8323)</f>
        <v>Aₜ = 0.4, n = 0.8, K₃</v>
      </c>
      <c r="D1" s="3"/>
      <c r="L1" s="4" t="str">
        <f>"Aₜ = 0.4, n = 0.8, K"&amp;_xlfn.UNICHAR(8324)</f>
        <v>Aₜ = 0.4, n = 0.8, K₄</v>
      </c>
      <c r="M1" s="3"/>
      <c r="U1" s="4" t="str">
        <f>"Aₜ = 0.4, n = 0.7, K"&amp;_xlfn.UNICHAR(8323)</f>
        <v>Aₜ = 0.4, n = 0.7, K₃</v>
      </c>
      <c r="V1" s="3"/>
      <c r="AD1" s="4" t="str">
        <f>"Aₜ = 0.4, n = 0.6, K"&amp;_xlfn.UNICHAR(8323)</f>
        <v>Aₜ = 0.4, n = 0.6, K₃</v>
      </c>
      <c r="AE1" s="3"/>
      <c r="AM1" s="4" t="str">
        <f>"Aₜ = 0.4, n = 1, K"&amp;_xlfn.UNICHAR(8323)</f>
        <v>Aₜ = 0.4, n = 1, K₃</v>
      </c>
      <c r="AN1" s="3"/>
      <c r="AV1" s="4" t="str">
        <f>"Aₜ = 0.4, n = 0.5, K"&amp;_xlfn.UNICHAR(8323)</f>
        <v>Aₜ = 0.4, n = 0.5, K₃</v>
      </c>
      <c r="AW1" s="3"/>
    </row>
    <row r="2" spans="1:52" ht="15.6" x14ac:dyDescent="0.35">
      <c r="A2" t="s">
        <v>6</v>
      </c>
      <c r="B2" t="s">
        <v>7</v>
      </c>
      <c r="C2" t="s">
        <v>0</v>
      </c>
      <c r="D2" t="s">
        <v>1</v>
      </c>
      <c r="E2" t="s">
        <v>2</v>
      </c>
      <c r="F2" t="s">
        <v>3</v>
      </c>
      <c r="G2" t="s">
        <v>5</v>
      </c>
      <c r="H2" t="s">
        <v>4</v>
      </c>
      <c r="J2" t="s">
        <v>6</v>
      </c>
      <c r="K2" t="s">
        <v>7</v>
      </c>
      <c r="L2" t="s">
        <v>0</v>
      </c>
      <c r="M2" t="s">
        <v>1</v>
      </c>
      <c r="N2" t="s">
        <v>2</v>
      </c>
      <c r="O2" t="s">
        <v>3</v>
      </c>
      <c r="P2" t="s">
        <v>5</v>
      </c>
      <c r="Q2" t="s">
        <v>4</v>
      </c>
      <c r="S2" t="s">
        <v>6</v>
      </c>
      <c r="T2" t="s">
        <v>7</v>
      </c>
      <c r="U2" t="s">
        <v>0</v>
      </c>
      <c r="V2" t="s">
        <v>1</v>
      </c>
      <c r="W2" t="s">
        <v>2</v>
      </c>
      <c r="X2" t="s">
        <v>3</v>
      </c>
      <c r="Y2" t="s">
        <v>5</v>
      </c>
      <c r="Z2" t="s">
        <v>4</v>
      </c>
      <c r="AB2" t="s">
        <v>6</v>
      </c>
      <c r="AC2" t="s">
        <v>7</v>
      </c>
      <c r="AD2" t="s">
        <v>0</v>
      </c>
      <c r="AE2" t="s">
        <v>1</v>
      </c>
      <c r="AF2" t="s">
        <v>2</v>
      </c>
      <c r="AG2" t="s">
        <v>3</v>
      </c>
      <c r="AH2" t="s">
        <v>5</v>
      </c>
      <c r="AI2" t="s">
        <v>4</v>
      </c>
      <c r="AK2" t="s">
        <v>6</v>
      </c>
      <c r="AL2" t="s">
        <v>7</v>
      </c>
      <c r="AM2" t="s">
        <v>0</v>
      </c>
      <c r="AN2" t="s">
        <v>1</v>
      </c>
      <c r="AO2" t="s">
        <v>2</v>
      </c>
      <c r="AP2" t="s">
        <v>3</v>
      </c>
      <c r="AQ2" t="s">
        <v>4</v>
      </c>
      <c r="AS2" t="s">
        <v>6</v>
      </c>
      <c r="AT2" t="s">
        <v>7</v>
      </c>
      <c r="AU2" t="s">
        <v>0</v>
      </c>
      <c r="AV2" t="s">
        <v>1</v>
      </c>
      <c r="AW2" t="s">
        <v>2</v>
      </c>
      <c r="AX2" t="s">
        <v>3</v>
      </c>
      <c r="AY2" t="s">
        <v>5</v>
      </c>
      <c r="AZ2" t="s">
        <v>4</v>
      </c>
    </row>
    <row r="3" spans="1:52" ht="15" x14ac:dyDescent="0.35">
      <c r="A3" s="2">
        <v>0</v>
      </c>
      <c r="B3">
        <f>A3/0.02256</f>
        <v>0</v>
      </c>
      <c r="C3">
        <v>2.8830700000000002E-4</v>
      </c>
      <c r="D3">
        <v>0</v>
      </c>
      <c r="E3">
        <v>0</v>
      </c>
      <c r="F3">
        <v>-0.1</v>
      </c>
      <c r="G3">
        <f>C3/0.000288307</f>
        <v>1</v>
      </c>
      <c r="H3" s="2">
        <v>0</v>
      </c>
      <c r="J3" s="2">
        <v>0</v>
      </c>
      <c r="K3">
        <f>J3/0.02256</f>
        <v>0</v>
      </c>
      <c r="L3">
        <v>1.85343E-4</v>
      </c>
      <c r="M3">
        <v>0</v>
      </c>
      <c r="N3">
        <v>0</v>
      </c>
      <c r="O3">
        <v>-0.1</v>
      </c>
      <c r="P3">
        <f>L3/0.0001853434</f>
        <v>0.99999784184384233</v>
      </c>
      <c r="Q3" s="2">
        <v>0</v>
      </c>
      <c r="S3" s="2">
        <v>0</v>
      </c>
      <c r="T3">
        <f>S3/0.02256</f>
        <v>0</v>
      </c>
      <c r="U3">
        <v>2.8830700000000002E-4</v>
      </c>
      <c r="V3">
        <v>0</v>
      </c>
      <c r="W3">
        <v>0</v>
      </c>
      <c r="X3">
        <v>-0.1</v>
      </c>
      <c r="Y3">
        <f>U3/0.000288307</f>
        <v>1</v>
      </c>
      <c r="Z3" s="2">
        <v>0</v>
      </c>
      <c r="AB3" s="2">
        <v>0</v>
      </c>
      <c r="AC3">
        <f>AB3/0.02256</f>
        <v>0</v>
      </c>
      <c r="AD3">
        <v>2.8830700000000002E-4</v>
      </c>
      <c r="AE3">
        <v>0</v>
      </c>
      <c r="AF3">
        <v>0</v>
      </c>
      <c r="AG3">
        <v>-0.1</v>
      </c>
      <c r="AH3">
        <f>AD3/0.000288307</f>
        <v>1</v>
      </c>
      <c r="AI3" s="2">
        <v>0</v>
      </c>
      <c r="AK3" s="2">
        <v>0</v>
      </c>
      <c r="AL3">
        <f>AK3/0.02256</f>
        <v>0</v>
      </c>
      <c r="AM3">
        <v>2.8830700000000002E-4</v>
      </c>
      <c r="AN3">
        <v>0</v>
      </c>
      <c r="AO3">
        <v>0</v>
      </c>
      <c r="AP3">
        <v>-0.1</v>
      </c>
      <c r="AQ3" s="2">
        <v>0</v>
      </c>
      <c r="AS3" s="2">
        <v>0</v>
      </c>
      <c r="AT3">
        <f>AS3/0.02256</f>
        <v>0</v>
      </c>
      <c r="AU3">
        <v>2.8830700000000002E-4</v>
      </c>
      <c r="AV3">
        <v>0</v>
      </c>
      <c r="AW3">
        <v>0</v>
      </c>
      <c r="AX3">
        <v>-0.1</v>
      </c>
      <c r="AY3">
        <f>AU3/0.000288307</f>
        <v>1</v>
      </c>
      <c r="AZ3" s="2">
        <v>0</v>
      </c>
    </row>
    <row r="4" spans="1:52" ht="15" x14ac:dyDescent="0.35">
      <c r="A4" s="2">
        <v>2.8199999999999999E-2</v>
      </c>
      <c r="B4">
        <f>A4/0.2256</f>
        <v>0.125</v>
      </c>
      <c r="C4">
        <v>2.7263800000000001E-4</v>
      </c>
      <c r="D4">
        <v>9.6494800000000002E-3</v>
      </c>
      <c r="E4">
        <v>-6.4948000000000002E-3</v>
      </c>
      <c r="F4">
        <v>-0.100303</v>
      </c>
      <c r="G4">
        <f t="shared" ref="G4:G29" si="0">C4/0.000288307</f>
        <v>0.94565168379539866</v>
      </c>
      <c r="H4" s="2">
        <f>D4/1.40071410359145</f>
        <v>6.8889718289111262E-3</v>
      </c>
      <c r="J4" s="2">
        <v>2.8199999999999999E-2</v>
      </c>
      <c r="K4">
        <f>J4/0.2256</f>
        <v>0.125</v>
      </c>
      <c r="L4">
        <v>1.7801977999999999E-4</v>
      </c>
      <c r="M4">
        <v>3.0352799999999999E-2</v>
      </c>
      <c r="N4">
        <v>-3.0352799999999999E-2</v>
      </c>
      <c r="O4">
        <v>-0.101245</v>
      </c>
      <c r="P4">
        <f t="shared" ref="P4:P6" si="1">L4/0.0001853434</f>
        <v>0.96048621100076936</v>
      </c>
      <c r="Q4">
        <f>M4/1.40071410359145</f>
        <v>2.1669518370790303E-2</v>
      </c>
      <c r="S4" s="2">
        <v>2.8199999999999999E-2</v>
      </c>
      <c r="T4">
        <f>S4/0.2256</f>
        <v>0.125</v>
      </c>
      <c r="U4">
        <v>2.7374499999999999E-4</v>
      </c>
      <c r="V4">
        <v>9.8528538000000002E-3</v>
      </c>
      <c r="W4">
        <v>-5.2853800000000001E-3</v>
      </c>
      <c r="X4">
        <v>-0.10320799999999999</v>
      </c>
      <c r="Y4">
        <f t="shared" ref="Y4:Y29" si="2">U4/0.000288307</f>
        <v>0.94949134082765929</v>
      </c>
      <c r="Z4">
        <f>V4/1.40071410359145</f>
        <v>7.0341647697678977E-3</v>
      </c>
      <c r="AB4" s="2">
        <v>2.8199999999999999E-2</v>
      </c>
      <c r="AC4">
        <f>AB4/0.2256</f>
        <v>0.125</v>
      </c>
      <c r="AD4">
        <v>2.5833900000000001E-4</v>
      </c>
      <c r="AE4">
        <v>2.83938E-2</v>
      </c>
      <c r="AF4">
        <v>-2.83938E-2</v>
      </c>
      <c r="AG4">
        <v>-0.101373</v>
      </c>
      <c r="AH4">
        <f>AD4/0.000288307</f>
        <v>0.89605524666414615</v>
      </c>
      <c r="AI4">
        <f>AE4/1.40071410359145</f>
        <v>2.0270946031883244E-2</v>
      </c>
      <c r="AK4" s="2">
        <v>2.8199999999999999E-2</v>
      </c>
      <c r="AL4">
        <f>AK4/0.2256</f>
        <v>0.125</v>
      </c>
      <c r="AM4">
        <v>2.8830700000000002E-4</v>
      </c>
      <c r="AN4">
        <v>9.506535E-3</v>
      </c>
      <c r="AO4">
        <v>-5.0653499999999997E-3</v>
      </c>
      <c r="AP4">
        <v>-0.1004051</v>
      </c>
      <c r="AQ4">
        <f>AN4/1.40071410359145</f>
        <v>6.786920311307721E-3</v>
      </c>
      <c r="AS4" s="2">
        <v>2.8199999999999999E-2</v>
      </c>
      <c r="AT4">
        <f>AS4/0.2256</f>
        <v>0.125</v>
      </c>
      <c r="AU4">
        <v>2.4560000000000001E-4</v>
      </c>
      <c r="AV4">
        <v>4.1200500000000001E-2</v>
      </c>
      <c r="AW4">
        <v>-4.1200500000000001E-2</v>
      </c>
      <c r="AX4">
        <v>-0.102269</v>
      </c>
      <c r="AY4">
        <f t="shared" ref="AY4:AY29" si="3">AU4/0.000288307</f>
        <v>0.85186970833174358</v>
      </c>
      <c r="AZ4">
        <f>AV4/1.40071410359145</f>
        <v>2.9413925293078264E-2</v>
      </c>
    </row>
    <row r="5" spans="1:52" ht="15" x14ac:dyDescent="0.35">
      <c r="A5" s="2">
        <v>5.6399999999999999E-2</v>
      </c>
      <c r="B5">
        <f t="shared" ref="B5:B29" si="4">A5/0.2256</f>
        <v>0.25</v>
      </c>
      <c r="C5">
        <v>2.6204100000000002E-4</v>
      </c>
      <c r="D5">
        <v>5.1196400000000003E-2</v>
      </c>
      <c r="E5">
        <v>-5.1196400000000003E-2</v>
      </c>
      <c r="F5">
        <v>-0.103869</v>
      </c>
      <c r="G5">
        <f t="shared" si="0"/>
        <v>0.90889572573680144</v>
      </c>
      <c r="H5" s="2">
        <f t="shared" ref="H5:H29" si="5">D5/1.40071410359145</f>
        <v>3.655021382931159E-2</v>
      </c>
      <c r="J5" s="2">
        <v>5.6399999999999999E-2</v>
      </c>
      <c r="K5">
        <f t="shared" ref="K5:K29" si="6">J5/0.2256</f>
        <v>0.25</v>
      </c>
      <c r="L5">
        <v>1.626562E-4</v>
      </c>
      <c r="M5">
        <v>9.1237200000000004E-2</v>
      </c>
      <c r="N5">
        <v>-9.1237200000000004E-2</v>
      </c>
      <c r="O5">
        <v>-0.109796</v>
      </c>
      <c r="P5">
        <f t="shared" si="1"/>
        <v>0.87759369904728191</v>
      </c>
      <c r="Q5">
        <f t="shared" ref="Q5:Q29" si="7">M5/1.40071410359145</f>
        <v>6.513620428756059E-2</v>
      </c>
      <c r="S5" s="2">
        <v>5.6399999999999999E-2</v>
      </c>
      <c r="T5">
        <f t="shared" ref="T5:T29" si="8">S5/0.2256</f>
        <v>0.25</v>
      </c>
      <c r="U5">
        <v>2.5528539999999998E-4</v>
      </c>
      <c r="V5">
        <v>4.4907799999999998E-2</v>
      </c>
      <c r="W5">
        <v>-4.4907799999999998E-2</v>
      </c>
      <c r="X5">
        <v>-0.113722</v>
      </c>
      <c r="Y5">
        <f t="shared" si="2"/>
        <v>0.88546375911788466</v>
      </c>
      <c r="Z5">
        <f t="shared" ref="Z5:Z29" si="9">V5/1.40071410359145</f>
        <v>3.2060646697892013E-2</v>
      </c>
      <c r="AB5" s="2">
        <v>5.6399999999999999E-2</v>
      </c>
      <c r="AC5">
        <f t="shared" ref="AC5:AC29" si="10">AB5/0.2256</f>
        <v>0.25</v>
      </c>
      <c r="AD5">
        <v>2.3556E-4</v>
      </c>
      <c r="AE5">
        <v>8.84432E-2</v>
      </c>
      <c r="AF5">
        <v>-8.84432E-2</v>
      </c>
      <c r="AG5">
        <v>-0.109567</v>
      </c>
      <c r="AH5">
        <f t="shared" ref="AH5:AH17" si="11">AD5/0.000288307</f>
        <v>0.81704571862632536</v>
      </c>
      <c r="AI5">
        <f t="shared" ref="AI5:AI29" si="12">AE5/1.40071410359145</f>
        <v>6.3141507444831477E-2</v>
      </c>
      <c r="AK5" s="2">
        <v>5.6399999999999999E-2</v>
      </c>
      <c r="AL5">
        <f t="shared" ref="AL5:AL29" si="13">AK5/0.2256</f>
        <v>0.25</v>
      </c>
      <c r="AM5">
        <v>2.8830700000000002E-4</v>
      </c>
      <c r="AN5">
        <v>2.6788099999999999E-2</v>
      </c>
      <c r="AO5">
        <v>-2.6788099999999999E-2</v>
      </c>
      <c r="AP5">
        <v>-0.109596</v>
      </c>
      <c r="AQ5">
        <f t="shared" ref="AQ5:AQ29" si="14">AN5/1.40071410359145</f>
        <v>1.9124602180641249E-2</v>
      </c>
      <c r="AS5" s="2">
        <v>5.6399999999999999E-2</v>
      </c>
      <c r="AT5">
        <f t="shared" ref="AT5:AT29" si="15">AS5/0.2256</f>
        <v>0.25</v>
      </c>
      <c r="AU5">
        <v>2.2432741000000001E-4</v>
      </c>
      <c r="AV5">
        <v>0.102697</v>
      </c>
      <c r="AW5">
        <v>-0.102697</v>
      </c>
      <c r="AX5">
        <v>-0.112375</v>
      </c>
      <c r="AY5">
        <f t="shared" si="3"/>
        <v>0.7780852008449326</v>
      </c>
      <c r="AZ5">
        <f t="shared" ref="AZ5:AZ29" si="16">AV5/1.40071410359145</f>
        <v>7.3317602597620379E-2</v>
      </c>
    </row>
    <row r="6" spans="1:52" ht="15" x14ac:dyDescent="0.35">
      <c r="A6" s="2">
        <v>8.4599999999999995E-2</v>
      </c>
      <c r="B6">
        <f t="shared" si="4"/>
        <v>0.375</v>
      </c>
      <c r="C6">
        <v>2.4519739999999998E-4</v>
      </c>
      <c r="D6">
        <v>0.110849</v>
      </c>
      <c r="E6">
        <v>-0.110848</v>
      </c>
      <c r="F6">
        <v>-0.115268</v>
      </c>
      <c r="G6">
        <f t="shared" si="0"/>
        <v>0.85047328021865565</v>
      </c>
      <c r="H6" s="2">
        <f t="shared" si="5"/>
        <v>7.9137491166671098E-2</v>
      </c>
      <c r="J6" s="2">
        <v>8.4599999999999995E-2</v>
      </c>
      <c r="K6">
        <f t="shared" si="6"/>
        <v>0.375</v>
      </c>
      <c r="L6">
        <v>1.49223E-4</v>
      </c>
      <c r="M6">
        <v>0.154114</v>
      </c>
      <c r="N6">
        <v>-0.154114</v>
      </c>
      <c r="O6">
        <v>-0.12706100000000001</v>
      </c>
      <c r="P6">
        <f t="shared" si="1"/>
        <v>0.80511634080307148</v>
      </c>
      <c r="Q6">
        <f t="shared" si="7"/>
        <v>0.11002530752339082</v>
      </c>
      <c r="S6" s="2">
        <v>8.4599999999999995E-2</v>
      </c>
      <c r="T6">
        <f t="shared" si="8"/>
        <v>0.375</v>
      </c>
      <c r="U6">
        <v>2.3507469E-4</v>
      </c>
      <c r="V6">
        <v>0.104675</v>
      </c>
      <c r="W6">
        <v>-0.104674</v>
      </c>
      <c r="X6">
        <v>-0.13283500000000001</v>
      </c>
      <c r="Y6">
        <f t="shared" si="2"/>
        <v>0.81536240882115241</v>
      </c>
      <c r="Z6">
        <f t="shared" si="9"/>
        <v>7.4729739446195251E-2</v>
      </c>
      <c r="AB6" s="2">
        <v>8.4599999999999995E-2</v>
      </c>
      <c r="AC6">
        <f t="shared" si="10"/>
        <v>0.375</v>
      </c>
      <c r="AD6">
        <v>2.019515E-4</v>
      </c>
      <c r="AE6">
        <v>0.15145900000000001</v>
      </c>
      <c r="AF6">
        <v>-0.15145900000000001</v>
      </c>
      <c r="AG6">
        <v>-0.126446</v>
      </c>
      <c r="AH6">
        <f t="shared" si="11"/>
        <v>0.70047380049738639</v>
      </c>
      <c r="AI6">
        <f t="shared" si="12"/>
        <v>0.10812984577770515</v>
      </c>
      <c r="AK6" s="2">
        <v>8.4599999999999995E-2</v>
      </c>
      <c r="AL6">
        <f t="shared" si="13"/>
        <v>0.375</v>
      </c>
      <c r="AM6">
        <v>2.8830700000000002E-4</v>
      </c>
      <c r="AN6">
        <v>5.4565299999999997E-2</v>
      </c>
      <c r="AO6">
        <v>-5.4565299999999997E-2</v>
      </c>
      <c r="AP6">
        <v>-0.120058</v>
      </c>
      <c r="AQ6">
        <f t="shared" si="14"/>
        <v>3.895534417772608E-2</v>
      </c>
      <c r="AS6" s="2">
        <v>8.4599999999999995E-2</v>
      </c>
      <c r="AT6">
        <f t="shared" si="15"/>
        <v>0.375</v>
      </c>
      <c r="AU6">
        <v>1.8203029E-4</v>
      </c>
      <c r="AV6">
        <v>0.16682</v>
      </c>
      <c r="AW6">
        <v>-0.16682</v>
      </c>
      <c r="AX6">
        <v>-0.13134599999999999</v>
      </c>
      <c r="AY6">
        <f t="shared" si="3"/>
        <v>0.63137658815082531</v>
      </c>
      <c r="AZ6">
        <f t="shared" si="16"/>
        <v>0.11909639488334646</v>
      </c>
    </row>
    <row r="7" spans="1:52" ht="15" x14ac:dyDescent="0.35">
      <c r="A7" s="2">
        <v>0.1128</v>
      </c>
      <c r="B7">
        <f t="shared" si="4"/>
        <v>0.5</v>
      </c>
      <c r="C7">
        <v>2.19166E-4</v>
      </c>
      <c r="D7">
        <v>0.17257900000000001</v>
      </c>
      <c r="E7">
        <v>-0.17257900000000001</v>
      </c>
      <c r="F7">
        <v>-0.135216</v>
      </c>
      <c r="G7">
        <f t="shared" si="0"/>
        <v>0.7601827218902073</v>
      </c>
      <c r="H7" s="2">
        <f t="shared" si="5"/>
        <v>0.12320786915581496</v>
      </c>
      <c r="J7" s="2">
        <v>0.1128</v>
      </c>
      <c r="K7">
        <f t="shared" si="6"/>
        <v>0.5</v>
      </c>
      <c r="L7">
        <v>1.29197E-4</v>
      </c>
      <c r="M7">
        <v>0.218301</v>
      </c>
      <c r="N7">
        <v>-0.218301</v>
      </c>
      <c r="O7">
        <v>-0.153313</v>
      </c>
      <c r="P7">
        <f t="shared" ref="P7:P29" si="17">L7/0.0001853434</f>
        <v>0.69706825276756545</v>
      </c>
      <c r="Q7">
        <f t="shared" si="7"/>
        <v>0.15584979078905056</v>
      </c>
      <c r="S7" s="2">
        <v>0.1128</v>
      </c>
      <c r="T7">
        <f t="shared" si="8"/>
        <v>0.5</v>
      </c>
      <c r="U7">
        <v>2.0232299999999999E-4</v>
      </c>
      <c r="V7">
        <v>0.16681699999999999</v>
      </c>
      <c r="W7">
        <v>-0.16681299999999999</v>
      </c>
      <c r="X7">
        <v>-0.16078700000000001</v>
      </c>
      <c r="Y7">
        <f t="shared" si="2"/>
        <v>0.70176235748698435</v>
      </c>
      <c r="Z7">
        <f t="shared" si="9"/>
        <v>0.11909425311866206</v>
      </c>
      <c r="AB7" s="2">
        <v>0.1128</v>
      </c>
      <c r="AC7">
        <f t="shared" si="10"/>
        <v>0.5</v>
      </c>
      <c r="AD7">
        <v>1.55372E-4</v>
      </c>
      <c r="AE7">
        <v>0.215859</v>
      </c>
      <c r="AF7">
        <v>-0.215859</v>
      </c>
      <c r="AG7">
        <v>-0.152335</v>
      </c>
      <c r="AH7">
        <f t="shared" si="11"/>
        <v>0.53891164626595955</v>
      </c>
      <c r="AI7">
        <f t="shared" si="12"/>
        <v>0.1541063943359566</v>
      </c>
      <c r="AK7" s="2">
        <v>0.1128</v>
      </c>
      <c r="AL7">
        <f t="shared" si="13"/>
        <v>0.5</v>
      </c>
      <c r="AM7">
        <v>2.8830700000000002E-4</v>
      </c>
      <c r="AN7">
        <v>9.6103900000000006E-2</v>
      </c>
      <c r="AO7">
        <v>-9.6103900000000006E-2</v>
      </c>
      <c r="AP7">
        <v>-0.137159</v>
      </c>
      <c r="AQ7">
        <f t="shared" si="14"/>
        <v>6.861064635073516E-2</v>
      </c>
      <c r="AS7" s="2">
        <v>0.1128</v>
      </c>
      <c r="AT7">
        <f t="shared" si="15"/>
        <v>0.5</v>
      </c>
      <c r="AU7">
        <v>1.2132023E-4</v>
      </c>
      <c r="AV7">
        <v>0.231906</v>
      </c>
      <c r="AW7">
        <v>-0.231906</v>
      </c>
      <c r="AX7">
        <v>-0.159468</v>
      </c>
      <c r="AY7">
        <f t="shared" si="3"/>
        <v>0.42080223511742687</v>
      </c>
      <c r="AZ7">
        <f t="shared" si="16"/>
        <v>0.16556269363276194</v>
      </c>
    </row>
    <row r="8" spans="1:52" ht="15" x14ac:dyDescent="0.35">
      <c r="A8" s="2">
        <v>0.14099999999999999</v>
      </c>
      <c r="B8">
        <f t="shared" si="4"/>
        <v>0.625</v>
      </c>
      <c r="C8">
        <v>1.8625599999999999E-4</v>
      </c>
      <c r="D8">
        <v>0.233984</v>
      </c>
      <c r="E8">
        <v>-0.233984</v>
      </c>
      <c r="F8">
        <v>-0.16389899999999999</v>
      </c>
      <c r="G8">
        <f t="shared" si="0"/>
        <v>0.64603356838370196</v>
      </c>
      <c r="H8" s="2">
        <f t="shared" si="5"/>
        <v>0.16704622263748314</v>
      </c>
      <c r="J8" s="2">
        <v>0.14099999999999999</v>
      </c>
      <c r="K8">
        <f t="shared" si="6"/>
        <v>0.625</v>
      </c>
      <c r="L8">
        <v>1.1658300000000001E-4</v>
      </c>
      <c r="M8">
        <v>0.27956700000000001</v>
      </c>
      <c r="N8">
        <v>-0.27956700000000001</v>
      </c>
      <c r="O8">
        <v>-0.188473</v>
      </c>
      <c r="P8">
        <f t="shared" si="17"/>
        <v>0.62901079833433504</v>
      </c>
      <c r="Q8">
        <f t="shared" si="7"/>
        <v>0.19958890917367533</v>
      </c>
      <c r="S8" s="2">
        <v>0.14099999999999999</v>
      </c>
      <c r="T8">
        <f t="shared" si="8"/>
        <v>0.625</v>
      </c>
      <c r="U8">
        <v>1.6493200000000001E-4</v>
      </c>
      <c r="V8">
        <v>0.22961599999999999</v>
      </c>
      <c r="W8">
        <v>-0.229604</v>
      </c>
      <c r="X8">
        <v>-0.197385</v>
      </c>
      <c r="Y8">
        <f t="shared" si="2"/>
        <v>0.57207074403327007</v>
      </c>
      <c r="Z8">
        <f t="shared" si="9"/>
        <v>0.16392781325701042</v>
      </c>
      <c r="AB8" s="2">
        <v>0.14099999999999999</v>
      </c>
      <c r="AC8">
        <f t="shared" si="10"/>
        <v>0.625</v>
      </c>
      <c r="AD8">
        <v>1.2212799999999999E-4</v>
      </c>
      <c r="AE8">
        <v>0.27749699999999999</v>
      </c>
      <c r="AF8">
        <v>-0.27749699999999999</v>
      </c>
      <c r="AG8">
        <v>-0.18717700000000001</v>
      </c>
      <c r="AH8">
        <f t="shared" si="11"/>
        <v>0.42360400545252103</v>
      </c>
      <c r="AI8">
        <f t="shared" si="12"/>
        <v>0.19811109154144582</v>
      </c>
      <c r="AK8" s="2">
        <v>0.14099999999999999</v>
      </c>
      <c r="AL8">
        <f t="shared" si="13"/>
        <v>0.625</v>
      </c>
      <c r="AM8">
        <v>2.8830700000000002E-4</v>
      </c>
      <c r="AN8">
        <v>0.14785599999999999</v>
      </c>
      <c r="AO8">
        <v>-0.14785599999999999</v>
      </c>
      <c r="AP8">
        <v>-0.16195100000000001</v>
      </c>
      <c r="AQ8">
        <f t="shared" si="14"/>
        <v>0.10555758639175203</v>
      </c>
      <c r="AS8" s="2">
        <v>0.14099999999999999</v>
      </c>
      <c r="AT8">
        <f t="shared" si="15"/>
        <v>0.625</v>
      </c>
      <c r="AU8" s="1">
        <v>9.5667499999999998E-5</v>
      </c>
      <c r="AV8">
        <v>0.29269099999999998</v>
      </c>
      <c r="AW8">
        <v>-0.29269099999999998</v>
      </c>
      <c r="AX8">
        <v>-0.19654099999999999</v>
      </c>
      <c r="AY8">
        <f t="shared" si="3"/>
        <v>0.33182510310190177</v>
      </c>
      <c r="AZ8">
        <f t="shared" si="16"/>
        <v>0.20895841574632271</v>
      </c>
    </row>
    <row r="9" spans="1:52" ht="15" x14ac:dyDescent="0.35">
      <c r="A9" s="2">
        <v>0.16919999999999999</v>
      </c>
      <c r="B9">
        <f t="shared" si="4"/>
        <v>0.75</v>
      </c>
      <c r="C9">
        <v>1.757955E-4</v>
      </c>
      <c r="D9">
        <v>0.29083100000000001</v>
      </c>
      <c r="E9">
        <v>-0.29083100000000001</v>
      </c>
      <c r="F9">
        <v>-0.200984</v>
      </c>
      <c r="G9">
        <f t="shared" si="0"/>
        <v>0.60975106397000411</v>
      </c>
      <c r="H9" s="2">
        <f t="shared" si="5"/>
        <v>0.20763052164200058</v>
      </c>
      <c r="J9" s="2">
        <v>0.16919999999999999</v>
      </c>
      <c r="K9">
        <f t="shared" si="6"/>
        <v>0.75</v>
      </c>
      <c r="L9">
        <v>1.08171E-4</v>
      </c>
      <c r="M9">
        <v>0.33208700000000002</v>
      </c>
      <c r="N9">
        <v>-0.33208700000000002</v>
      </c>
      <c r="O9">
        <v>-0.23172300000000001</v>
      </c>
      <c r="P9">
        <f t="shared" si="17"/>
        <v>0.5836247743377968</v>
      </c>
      <c r="Q9">
        <f t="shared" si="7"/>
        <v>0.23708406958174008</v>
      </c>
      <c r="S9" s="2">
        <v>0.16919999999999999</v>
      </c>
      <c r="T9">
        <f t="shared" si="8"/>
        <v>0.75</v>
      </c>
      <c r="U9">
        <v>1.43139E-4</v>
      </c>
      <c r="V9">
        <v>0.28856300000000001</v>
      </c>
      <c r="W9">
        <v>-0.288551</v>
      </c>
      <c r="X9">
        <v>-0.241674</v>
      </c>
      <c r="Y9">
        <f t="shared" si="2"/>
        <v>0.49648118151831205</v>
      </c>
      <c r="Z9">
        <f t="shared" si="9"/>
        <v>0.20601134754060127</v>
      </c>
      <c r="AB9" s="2">
        <v>0.16919999999999999</v>
      </c>
      <c r="AC9">
        <f t="shared" si="10"/>
        <v>0.75</v>
      </c>
      <c r="AD9" s="1">
        <v>9.95867E-5</v>
      </c>
      <c r="AE9">
        <v>0.33008700000000002</v>
      </c>
      <c r="AF9">
        <v>-0.33008700000000002</v>
      </c>
      <c r="AG9">
        <v>-0.230152</v>
      </c>
      <c r="AH9">
        <f t="shared" si="11"/>
        <v>0.34541894577655069</v>
      </c>
      <c r="AI9">
        <f t="shared" si="12"/>
        <v>0.23565622645881301</v>
      </c>
      <c r="AK9" s="2">
        <v>0.16919999999999999</v>
      </c>
      <c r="AL9">
        <f t="shared" si="13"/>
        <v>0.75</v>
      </c>
      <c r="AM9">
        <v>2.8830700000000002E-4</v>
      </c>
      <c r="AN9">
        <v>0.20439199999999999</v>
      </c>
      <c r="AO9">
        <v>-0.20439199999999999</v>
      </c>
      <c r="AP9">
        <v>-0.194745</v>
      </c>
      <c r="AQ9">
        <f t="shared" si="14"/>
        <v>0.14591985579065428</v>
      </c>
      <c r="AS9" s="2">
        <v>0.16919999999999999</v>
      </c>
      <c r="AT9">
        <f t="shared" si="15"/>
        <v>0.75</v>
      </c>
      <c r="AU9" s="1">
        <v>7.9044900000000006E-5</v>
      </c>
      <c r="AV9">
        <v>0.34318399999999999</v>
      </c>
      <c r="AW9">
        <v>-0.34318399999999999</v>
      </c>
      <c r="AX9">
        <v>-0.24152199999999999</v>
      </c>
      <c r="AY9">
        <f t="shared" si="3"/>
        <v>0.27416920158025992</v>
      </c>
      <c r="AZ9">
        <f t="shared" si="16"/>
        <v>0.24500645714930086</v>
      </c>
    </row>
    <row r="10" spans="1:52" ht="15" x14ac:dyDescent="0.35">
      <c r="A10" s="2">
        <v>0.19739999999999999</v>
      </c>
      <c r="B10">
        <f t="shared" si="4"/>
        <v>0.875</v>
      </c>
      <c r="C10">
        <v>1.66985E-4</v>
      </c>
      <c r="D10">
        <v>0.33854699999999999</v>
      </c>
      <c r="E10">
        <v>-0.33854699999999999</v>
      </c>
      <c r="F10">
        <v>-0.24546000000000001</v>
      </c>
      <c r="G10">
        <f t="shared" si="0"/>
        <v>0.57919162559355131</v>
      </c>
      <c r="H10" s="2">
        <f t="shared" si="5"/>
        <v>0.24169600286879447</v>
      </c>
      <c r="J10" s="2">
        <v>0.19739999999999999</v>
      </c>
      <c r="K10">
        <f t="shared" si="6"/>
        <v>0.875</v>
      </c>
      <c r="L10">
        <v>1.0309E-4</v>
      </c>
      <c r="M10">
        <v>0.37212600000000001</v>
      </c>
      <c r="N10">
        <v>-0.37212600000000001</v>
      </c>
      <c r="O10">
        <v>-0.28153299999999998</v>
      </c>
      <c r="P10">
        <f t="shared" si="17"/>
        <v>0.55621079574454768</v>
      </c>
      <c r="Q10">
        <f t="shared" si="7"/>
        <v>0.26566877498117841</v>
      </c>
      <c r="S10" s="2">
        <v>0.19739999999999999</v>
      </c>
      <c r="T10">
        <f t="shared" si="8"/>
        <v>0.875</v>
      </c>
      <c r="U10">
        <v>1.29336E-4</v>
      </c>
      <c r="V10">
        <v>0.33782299999999998</v>
      </c>
      <c r="W10">
        <v>-0.33781800000000001</v>
      </c>
      <c r="X10">
        <v>-0.29203299999999999</v>
      </c>
      <c r="Y10">
        <f t="shared" si="2"/>
        <v>0.44860513272310415</v>
      </c>
      <c r="Z10">
        <f t="shared" si="9"/>
        <v>0.24117912365829486</v>
      </c>
      <c r="AB10" s="2">
        <v>0.19739999999999999</v>
      </c>
      <c r="AC10">
        <f t="shared" si="10"/>
        <v>0.875</v>
      </c>
      <c r="AD10" s="1">
        <v>9.6830799999999995E-5</v>
      </c>
      <c r="AE10">
        <v>0.37005199999999999</v>
      </c>
      <c r="AF10">
        <v>-0.37005199999999999</v>
      </c>
      <c r="AG10">
        <v>-0.27968199999999999</v>
      </c>
      <c r="AH10">
        <f t="shared" si="11"/>
        <v>0.33586003808440307</v>
      </c>
      <c r="AI10">
        <f t="shared" si="12"/>
        <v>0.26418810166270307</v>
      </c>
      <c r="AK10" s="2">
        <v>0.19739999999999999</v>
      </c>
      <c r="AL10">
        <f t="shared" si="13"/>
        <v>0.875</v>
      </c>
      <c r="AM10">
        <v>2.8830700000000002E-4</v>
      </c>
      <c r="AN10">
        <v>0.26056200000000002</v>
      </c>
      <c r="AO10">
        <v>-0.26056200000000002</v>
      </c>
      <c r="AP10">
        <v>-0.23514499999999999</v>
      </c>
      <c r="AQ10">
        <f t="shared" si="14"/>
        <v>0.18602082989806093</v>
      </c>
      <c r="AS10" s="2">
        <v>0.19739999999999999</v>
      </c>
      <c r="AT10">
        <f t="shared" si="15"/>
        <v>0.875</v>
      </c>
      <c r="AU10" s="1">
        <v>7.1284899999999999E-5</v>
      </c>
      <c r="AV10">
        <v>0.38017699999999999</v>
      </c>
      <c r="AW10">
        <v>-0.38017699999999999</v>
      </c>
      <c r="AX10">
        <v>-0.29269600000000001</v>
      </c>
      <c r="AY10">
        <f t="shared" si="3"/>
        <v>0.24725344858085302</v>
      </c>
      <c r="AZ10">
        <f t="shared" si="16"/>
        <v>0.2714165574725213</v>
      </c>
    </row>
    <row r="11" spans="1:52" ht="15" x14ac:dyDescent="0.35">
      <c r="A11" s="2">
        <v>0.22559999999999999</v>
      </c>
      <c r="B11">
        <f t="shared" si="4"/>
        <v>1</v>
      </c>
      <c r="C11">
        <v>1.6323600000000001E-4</v>
      </c>
      <c r="D11">
        <v>0.37502000000000002</v>
      </c>
      <c r="E11">
        <v>-0.37502000000000002</v>
      </c>
      <c r="F11">
        <v>-0.29589399999999999</v>
      </c>
      <c r="G11">
        <f t="shared" si="0"/>
        <v>0.56618812585195644</v>
      </c>
      <c r="H11" s="2">
        <f t="shared" si="5"/>
        <v>0.26773486398005392</v>
      </c>
      <c r="J11" s="2">
        <v>0.22559999999999999</v>
      </c>
      <c r="K11">
        <f t="shared" si="6"/>
        <v>1</v>
      </c>
      <c r="L11">
        <v>1.03897E-4</v>
      </c>
      <c r="M11">
        <v>0.39926099999999998</v>
      </c>
      <c r="N11">
        <v>-0.39926099999999998</v>
      </c>
      <c r="O11">
        <v>-0.33607300000000001</v>
      </c>
      <c r="P11">
        <f t="shared" si="17"/>
        <v>0.56056487579271774</v>
      </c>
      <c r="Q11">
        <f t="shared" si="7"/>
        <v>0.28504103655149138</v>
      </c>
      <c r="S11" s="2">
        <v>0.22559999999999999</v>
      </c>
      <c r="T11">
        <f t="shared" si="8"/>
        <v>1</v>
      </c>
      <c r="U11">
        <v>1.2433299999999999E-4</v>
      </c>
      <c r="V11">
        <v>0.37431900000000001</v>
      </c>
      <c r="W11">
        <v>-0.37431900000000001</v>
      </c>
      <c r="X11">
        <v>-0.34654400000000002</v>
      </c>
      <c r="Y11">
        <f t="shared" si="2"/>
        <v>0.43125210279320303</v>
      </c>
      <c r="Z11">
        <f t="shared" si="9"/>
        <v>0.26723440496546796</v>
      </c>
      <c r="AB11" s="2">
        <v>0.22559999999999999</v>
      </c>
      <c r="AC11">
        <f t="shared" si="10"/>
        <v>1</v>
      </c>
      <c r="AD11" s="1">
        <v>9.55879E-5</v>
      </c>
      <c r="AE11">
        <v>0.39554699999999998</v>
      </c>
      <c r="AF11">
        <v>-0.39554699999999998</v>
      </c>
      <c r="AG11">
        <v>-0.33384900000000001</v>
      </c>
      <c r="AH11">
        <f t="shared" si="11"/>
        <v>0.33154900852216557</v>
      </c>
      <c r="AI11">
        <f t="shared" si="12"/>
        <v>0.28238953187221583</v>
      </c>
      <c r="AK11" s="2">
        <v>0.22559999999999999</v>
      </c>
      <c r="AL11">
        <f t="shared" si="13"/>
        <v>1</v>
      </c>
      <c r="AM11">
        <v>2.8830700000000002E-4</v>
      </c>
      <c r="AN11">
        <v>0.31138399999999999</v>
      </c>
      <c r="AO11">
        <v>-0.31138399999999999</v>
      </c>
      <c r="AP11">
        <v>-0.28212500000000001</v>
      </c>
      <c r="AQ11">
        <f t="shared" si="14"/>
        <v>0.22230375149476053</v>
      </c>
      <c r="AS11" s="2">
        <v>0.22559999999999999</v>
      </c>
      <c r="AT11">
        <f t="shared" si="15"/>
        <v>1</v>
      </c>
      <c r="AU11" s="1">
        <v>7.1514399999999994E-5</v>
      </c>
      <c r="AV11">
        <v>0.40390100000000001</v>
      </c>
      <c r="AW11">
        <v>-0.40390100000000001</v>
      </c>
      <c r="AX11">
        <v>-0.348138</v>
      </c>
      <c r="AY11">
        <f t="shared" si="3"/>
        <v>0.24804947503876074</v>
      </c>
      <c r="AZ11">
        <f t="shared" si="16"/>
        <v>0.28835363259668217</v>
      </c>
    </row>
    <row r="12" spans="1:52" ht="15" x14ac:dyDescent="0.35">
      <c r="A12" s="2">
        <v>0.25379999999999997</v>
      </c>
      <c r="B12">
        <f t="shared" si="4"/>
        <v>1.125</v>
      </c>
      <c r="C12">
        <v>1.61106E-4</v>
      </c>
      <c r="D12">
        <v>0.39937299999999998</v>
      </c>
      <c r="E12">
        <v>-0.39937299999999998</v>
      </c>
      <c r="F12">
        <v>-0.35061399999999998</v>
      </c>
      <c r="G12">
        <f t="shared" si="0"/>
        <v>0.55880016787660369</v>
      </c>
      <c r="H12" s="2">
        <f t="shared" si="5"/>
        <v>0.28512099576637528</v>
      </c>
      <c r="J12" s="2">
        <v>0.25379999999999997</v>
      </c>
      <c r="K12">
        <f t="shared" si="6"/>
        <v>1.125</v>
      </c>
      <c r="L12">
        <v>1.0401299999999999E-4</v>
      </c>
      <c r="M12">
        <v>0.41371999999999998</v>
      </c>
      <c r="N12">
        <v>-0.41371999999999998</v>
      </c>
      <c r="O12">
        <v>-0.39352599999999999</v>
      </c>
      <c r="P12">
        <f t="shared" si="17"/>
        <v>0.56119074107845213</v>
      </c>
      <c r="Q12">
        <f t="shared" si="7"/>
        <v>0.29536362840869257</v>
      </c>
      <c r="S12" s="2">
        <v>0.25379999999999997</v>
      </c>
      <c r="T12">
        <f t="shared" si="8"/>
        <v>1.125</v>
      </c>
      <c r="U12">
        <v>1.195129E-4</v>
      </c>
      <c r="V12">
        <v>0.396484</v>
      </c>
      <c r="W12">
        <v>-0.396484</v>
      </c>
      <c r="X12">
        <v>-0.403362</v>
      </c>
      <c r="Y12">
        <f t="shared" si="2"/>
        <v>0.41453346606221836</v>
      </c>
      <c r="Z12">
        <f t="shared" si="9"/>
        <v>0.28305847637530712</v>
      </c>
      <c r="AB12" s="2">
        <v>0.25379999999999997</v>
      </c>
      <c r="AC12">
        <f t="shared" si="10"/>
        <v>1.125</v>
      </c>
      <c r="AD12" s="1">
        <v>9.3660999999999997E-5</v>
      </c>
      <c r="AE12">
        <v>0.40908699999999998</v>
      </c>
      <c r="AF12">
        <v>-0.40908699999999998</v>
      </c>
      <c r="AG12">
        <v>-0.390762</v>
      </c>
      <c r="AH12">
        <f t="shared" si="11"/>
        <v>0.32486550794812469</v>
      </c>
      <c r="AI12">
        <f t="shared" si="12"/>
        <v>0.29205602981443202</v>
      </c>
      <c r="AK12" s="2">
        <v>0.25379999999999997</v>
      </c>
      <c r="AL12">
        <f t="shared" si="13"/>
        <v>1.125</v>
      </c>
      <c r="AM12">
        <v>2.8830700000000002E-4</v>
      </c>
      <c r="AN12">
        <v>0.35347400000000001</v>
      </c>
      <c r="AO12">
        <v>-0.35347400000000001</v>
      </c>
      <c r="AP12">
        <v>-0.33419399999999999</v>
      </c>
      <c r="AQ12">
        <f t="shared" si="14"/>
        <v>0.25235271001676063</v>
      </c>
      <c r="AS12" s="2">
        <v>0.25379999999999997</v>
      </c>
      <c r="AT12">
        <f t="shared" si="15"/>
        <v>1.125</v>
      </c>
      <c r="AU12" s="1">
        <v>7.2539099999999998E-5</v>
      </c>
      <c r="AV12">
        <v>0.41554400000000002</v>
      </c>
      <c r="AW12">
        <v>-0.41554400000000002</v>
      </c>
      <c r="AX12">
        <v>-0.40605400000000003</v>
      </c>
      <c r="AY12">
        <f t="shared" si="3"/>
        <v>0.25160367247413346</v>
      </c>
      <c r="AZ12">
        <f t="shared" si="16"/>
        <v>0.29666582133680208</v>
      </c>
    </row>
    <row r="13" spans="1:52" ht="15" x14ac:dyDescent="0.35">
      <c r="A13" s="2">
        <v>0.28199999999999997</v>
      </c>
      <c r="B13">
        <f t="shared" si="4"/>
        <v>1.25</v>
      </c>
      <c r="C13">
        <v>1.60972E-4</v>
      </c>
      <c r="D13">
        <v>0.41232600000000003</v>
      </c>
      <c r="E13">
        <v>-0.41232600000000003</v>
      </c>
      <c r="F13">
        <v>-0.40796500000000002</v>
      </c>
      <c r="G13">
        <f t="shared" si="0"/>
        <v>0.55833538554388207</v>
      </c>
      <c r="H13" s="2">
        <f t="shared" si="5"/>
        <v>0.29436842175201244</v>
      </c>
      <c r="J13" s="2">
        <v>0.28199999999999997</v>
      </c>
      <c r="K13">
        <f t="shared" si="6"/>
        <v>1.25</v>
      </c>
      <c r="L13">
        <v>1.04905E-4</v>
      </c>
      <c r="M13">
        <v>0.41642899999999999</v>
      </c>
      <c r="N13">
        <v>-0.41642899999999999</v>
      </c>
      <c r="O13">
        <v>-0.45217600000000002</v>
      </c>
      <c r="P13">
        <f t="shared" si="17"/>
        <v>0.56600342931013459</v>
      </c>
      <c r="Q13">
        <f t="shared" si="7"/>
        <v>0.29729764191869729</v>
      </c>
      <c r="S13" s="2">
        <v>0.28199999999999997</v>
      </c>
      <c r="T13">
        <f t="shared" si="8"/>
        <v>1.25</v>
      </c>
      <c r="U13">
        <v>1.2282999999999999E-4</v>
      </c>
      <c r="V13">
        <v>0.40709200000000001</v>
      </c>
      <c r="W13">
        <v>-0.40709200000000001</v>
      </c>
      <c r="X13">
        <v>-0.46077499999999999</v>
      </c>
      <c r="Y13">
        <f t="shared" si="2"/>
        <v>0.42603890991200344</v>
      </c>
      <c r="Z13">
        <f t="shared" si="9"/>
        <v>0.29063175629931232</v>
      </c>
      <c r="AB13" s="2">
        <v>0.28199999999999997</v>
      </c>
      <c r="AC13">
        <f t="shared" si="10"/>
        <v>1.25</v>
      </c>
      <c r="AD13" s="1">
        <v>9.5867799999999997E-5</v>
      </c>
      <c r="AE13">
        <v>0.41040300000000002</v>
      </c>
      <c r="AF13">
        <v>-0.41040300000000002</v>
      </c>
      <c r="AG13">
        <v>-0.44866</v>
      </c>
      <c r="AH13">
        <f t="shared" si="11"/>
        <v>0.33251984863357459</v>
      </c>
      <c r="AI13">
        <f t="shared" si="12"/>
        <v>0.29299555058931809</v>
      </c>
      <c r="AK13" s="2">
        <v>0.28199999999999997</v>
      </c>
      <c r="AL13">
        <f t="shared" si="13"/>
        <v>1.25</v>
      </c>
      <c r="AM13">
        <v>2.8830700000000002E-4</v>
      </c>
      <c r="AN13">
        <v>0.38339000000000001</v>
      </c>
      <c r="AO13">
        <v>-0.38339000000000001</v>
      </c>
      <c r="AP13">
        <v>-0.38975700000000002</v>
      </c>
      <c r="AQ13">
        <f t="shared" si="14"/>
        <v>0.27371038744950366</v>
      </c>
      <c r="AS13" s="2">
        <v>0.28199999999999997</v>
      </c>
      <c r="AT13">
        <f t="shared" si="15"/>
        <v>1.25</v>
      </c>
      <c r="AU13" s="1">
        <v>7.3928299999999995E-5</v>
      </c>
      <c r="AV13">
        <v>0.41724299999999998</v>
      </c>
      <c r="AW13">
        <v>-0.41724299999999998</v>
      </c>
      <c r="AX13">
        <v>-0.46485399999999999</v>
      </c>
      <c r="AY13">
        <f t="shared" si="3"/>
        <v>0.25642214722500667</v>
      </c>
      <c r="AZ13">
        <f t="shared" si="16"/>
        <v>0.29787877406972857</v>
      </c>
    </row>
    <row r="14" spans="1:52" ht="15" x14ac:dyDescent="0.35">
      <c r="A14" s="2">
        <v>0.31019999999999998</v>
      </c>
      <c r="B14">
        <f t="shared" si="4"/>
        <v>1.375</v>
      </c>
      <c r="C14">
        <v>1.65661E-4</v>
      </c>
      <c r="D14">
        <v>0.41355700000000001</v>
      </c>
      <c r="E14">
        <v>-0.41355700000000001</v>
      </c>
      <c r="F14">
        <v>-0.46634399999999998</v>
      </c>
      <c r="G14">
        <f t="shared" si="0"/>
        <v>0.57459929866427106</v>
      </c>
      <c r="H14" s="2">
        <f t="shared" si="5"/>
        <v>0.29524725919417405</v>
      </c>
      <c r="J14" s="2">
        <v>0.31019999999999998</v>
      </c>
      <c r="K14">
        <f t="shared" si="6"/>
        <v>1.375</v>
      </c>
      <c r="L14">
        <v>1.05839E-4</v>
      </c>
      <c r="M14">
        <v>0.40969</v>
      </c>
      <c r="N14">
        <v>-0.40969</v>
      </c>
      <c r="O14">
        <v>-0.51050099999999998</v>
      </c>
      <c r="P14">
        <f t="shared" si="17"/>
        <v>0.57104272393837596</v>
      </c>
      <c r="Q14">
        <f t="shared" si="7"/>
        <v>0.29248652451599455</v>
      </c>
      <c r="S14" s="2">
        <v>0.31019999999999998</v>
      </c>
      <c r="T14">
        <f t="shared" si="8"/>
        <v>1.375</v>
      </c>
      <c r="U14">
        <v>1.24661E-4</v>
      </c>
      <c r="V14">
        <v>0.40555000000000002</v>
      </c>
      <c r="W14">
        <v>-0.40555000000000002</v>
      </c>
      <c r="X14">
        <v>-0.51726300000000003</v>
      </c>
      <c r="Y14">
        <f t="shared" si="2"/>
        <v>0.43238977895090996</v>
      </c>
      <c r="Z14">
        <f t="shared" si="9"/>
        <v>0.28953088925153553</v>
      </c>
      <c r="AB14" s="2">
        <v>0.31019999999999998</v>
      </c>
      <c r="AC14">
        <f t="shared" si="10"/>
        <v>1.375</v>
      </c>
      <c r="AD14" s="1">
        <v>9.7942999999999994E-5</v>
      </c>
      <c r="AE14">
        <v>0.40301300000000001</v>
      </c>
      <c r="AF14">
        <v>-0.40301300000000001</v>
      </c>
      <c r="AG14">
        <v>-0.50609599999999999</v>
      </c>
      <c r="AH14">
        <f>AD14/0.000288307</f>
        <v>0.33971773144599327</v>
      </c>
      <c r="AI14">
        <f t="shared" si="12"/>
        <v>0.28771967025010253</v>
      </c>
      <c r="AK14" s="2">
        <v>0.31019999999999998</v>
      </c>
      <c r="AL14">
        <f t="shared" si="13"/>
        <v>1.375</v>
      </c>
      <c r="AM14">
        <v>2.8830700000000002E-4</v>
      </c>
      <c r="AN14">
        <v>0.40362500000000001</v>
      </c>
      <c r="AO14">
        <v>-0.40362500000000001</v>
      </c>
      <c r="AP14">
        <v>-0.44757000000000002</v>
      </c>
      <c r="AQ14">
        <f t="shared" si="14"/>
        <v>0.28815659024571821</v>
      </c>
      <c r="AS14" s="2">
        <v>0.31019999999999998</v>
      </c>
      <c r="AT14">
        <f t="shared" si="15"/>
        <v>1.375</v>
      </c>
      <c r="AU14" s="1">
        <v>7.4733600000000006E-5</v>
      </c>
      <c r="AV14">
        <v>0.41298400000000002</v>
      </c>
      <c r="AW14">
        <v>-0.41298400000000002</v>
      </c>
      <c r="AX14">
        <v>-0.52344400000000002</v>
      </c>
      <c r="AY14">
        <f t="shared" si="3"/>
        <v>0.25921535030366938</v>
      </c>
      <c r="AZ14">
        <f t="shared" si="16"/>
        <v>0.29483818213945545</v>
      </c>
    </row>
    <row r="15" spans="1:52" ht="15" x14ac:dyDescent="0.35">
      <c r="A15" s="2">
        <v>0.33839999999999998</v>
      </c>
      <c r="B15">
        <f t="shared" si="4"/>
        <v>1.5</v>
      </c>
      <c r="C15">
        <v>1.6751409999999999E-4</v>
      </c>
      <c r="D15">
        <v>0.40507599999999999</v>
      </c>
      <c r="E15">
        <v>-0.40507599999999999</v>
      </c>
      <c r="F15">
        <v>-0.52418200000000004</v>
      </c>
      <c r="G15">
        <f t="shared" si="0"/>
        <v>0.58102682210282786</v>
      </c>
      <c r="H15" s="2">
        <f t="shared" si="5"/>
        <v>0.28919249043140183</v>
      </c>
      <c r="J15" s="2">
        <v>0.33839999999999998</v>
      </c>
      <c r="K15">
        <f t="shared" si="6"/>
        <v>1.5</v>
      </c>
      <c r="L15">
        <v>1.0736780000000001E-4</v>
      </c>
      <c r="M15">
        <v>0.39896599999999999</v>
      </c>
      <c r="N15">
        <v>-0.39896599999999999</v>
      </c>
      <c r="O15">
        <v>-0.56754499999999997</v>
      </c>
      <c r="P15">
        <f t="shared" si="17"/>
        <v>0.57929119677312491</v>
      </c>
      <c r="Q15">
        <f t="shared" si="7"/>
        <v>0.28483042969085964</v>
      </c>
      <c r="S15" s="2">
        <v>0.33839999999999998</v>
      </c>
      <c r="T15">
        <f t="shared" si="8"/>
        <v>1.5</v>
      </c>
      <c r="U15">
        <v>1.2737600000000001E-4</v>
      </c>
      <c r="V15">
        <v>0.39419199999999999</v>
      </c>
      <c r="W15">
        <v>-0.39419199999999999</v>
      </c>
      <c r="X15">
        <v>-0.57173399999999996</v>
      </c>
      <c r="Y15">
        <f t="shared" si="2"/>
        <v>0.44180682397583132</v>
      </c>
      <c r="Z15">
        <f t="shared" si="9"/>
        <v>0.28142216815643273</v>
      </c>
      <c r="AB15" s="2">
        <v>0.33839999999999998</v>
      </c>
      <c r="AC15">
        <f t="shared" si="10"/>
        <v>1.5</v>
      </c>
      <c r="AD15" s="1">
        <v>9.9763600000000001E-5</v>
      </c>
      <c r="AE15">
        <v>0.39220300000000002</v>
      </c>
      <c r="AF15">
        <v>-0.39220300000000002</v>
      </c>
      <c r="AG15">
        <v>-0.56214900000000001</v>
      </c>
      <c r="AH15">
        <f t="shared" si="11"/>
        <v>0.34603252782624078</v>
      </c>
      <c r="AI15">
        <f t="shared" si="12"/>
        <v>0.28000217817068179</v>
      </c>
      <c r="AK15" s="2">
        <v>0.33839999999999998</v>
      </c>
      <c r="AL15">
        <f t="shared" si="13"/>
        <v>1.5</v>
      </c>
      <c r="AM15">
        <v>2.8830700000000002E-4</v>
      </c>
      <c r="AN15">
        <v>0.41444599999999998</v>
      </c>
      <c r="AO15">
        <v>-0.41444599999999998</v>
      </c>
      <c r="AP15">
        <v>-0.50636300000000001</v>
      </c>
      <c r="AQ15">
        <f t="shared" si="14"/>
        <v>0.29588193546231512</v>
      </c>
      <c r="AS15" s="2">
        <v>0.33839999999999998</v>
      </c>
      <c r="AT15">
        <f t="shared" si="15"/>
        <v>1.5</v>
      </c>
      <c r="AU15" s="1">
        <v>7.0135799999999993E-5</v>
      </c>
      <c r="AV15">
        <v>0.40934799999999999</v>
      </c>
      <c r="AW15">
        <v>-0.40934799999999999</v>
      </c>
      <c r="AX15">
        <v>-0.58139799999999997</v>
      </c>
      <c r="AY15">
        <f t="shared" si="3"/>
        <v>0.24326776665152075</v>
      </c>
      <c r="AZ15">
        <f t="shared" si="16"/>
        <v>0.29224236334197401</v>
      </c>
    </row>
    <row r="16" spans="1:52" ht="15" x14ac:dyDescent="0.35">
      <c r="A16" s="2">
        <v>0.36659999999999998</v>
      </c>
      <c r="B16">
        <f t="shared" si="4"/>
        <v>1.625</v>
      </c>
      <c r="C16">
        <v>1.69686E-4</v>
      </c>
      <c r="D16">
        <v>0.39140599999999998</v>
      </c>
      <c r="E16">
        <v>-0.39140599999999998</v>
      </c>
      <c r="F16">
        <v>-0.58034699999999995</v>
      </c>
      <c r="G16">
        <f t="shared" si="0"/>
        <v>0.58856011127027785</v>
      </c>
      <c r="H16" s="2">
        <f t="shared" si="5"/>
        <v>0.27943318268619532</v>
      </c>
      <c r="J16" s="2">
        <v>0.36659999999999998</v>
      </c>
      <c r="K16">
        <f t="shared" si="6"/>
        <v>1.625</v>
      </c>
      <c r="L16">
        <v>1.07988E-4</v>
      </c>
      <c r="M16">
        <v>0.389152</v>
      </c>
      <c r="N16">
        <v>-0.389152</v>
      </c>
      <c r="O16">
        <v>-0.62309700000000001</v>
      </c>
      <c r="P16">
        <f t="shared" si="17"/>
        <v>0.5826374178956466</v>
      </c>
      <c r="Q16">
        <f t="shared" si="7"/>
        <v>0.27782400348665653</v>
      </c>
      <c r="S16" s="2">
        <v>0.36659999999999998</v>
      </c>
      <c r="T16">
        <f t="shared" si="8"/>
        <v>1.625</v>
      </c>
      <c r="U16">
        <v>1.28551E-4</v>
      </c>
      <c r="V16">
        <v>0.37844499999999998</v>
      </c>
      <c r="W16">
        <v>-0.37844499999999998</v>
      </c>
      <c r="X16">
        <v>-0.62405100000000002</v>
      </c>
      <c r="Y16">
        <f t="shared" si="2"/>
        <v>0.44588234069932392</v>
      </c>
      <c r="Z16">
        <f t="shared" si="9"/>
        <v>0.27018004532806644</v>
      </c>
      <c r="AB16" s="2">
        <v>0.36659999999999998</v>
      </c>
      <c r="AC16">
        <f t="shared" si="10"/>
        <v>1.625</v>
      </c>
      <c r="AD16">
        <v>1.00426E-4</v>
      </c>
      <c r="AE16">
        <v>0.383191</v>
      </c>
      <c r="AF16">
        <v>-0.383191</v>
      </c>
      <c r="AG16">
        <v>-0.616784</v>
      </c>
      <c r="AH16">
        <f t="shared" si="11"/>
        <v>0.34833007870082933</v>
      </c>
      <c r="AI16">
        <f t="shared" si="12"/>
        <v>0.27356831705877244</v>
      </c>
      <c r="AK16" s="2">
        <v>0.36659999999999998</v>
      </c>
      <c r="AL16">
        <f t="shared" si="13"/>
        <v>1.625</v>
      </c>
      <c r="AM16">
        <v>2.8830700000000002E-4</v>
      </c>
      <c r="AN16">
        <v>0.41698400000000002</v>
      </c>
      <c r="AO16">
        <v>-0.41698400000000002</v>
      </c>
      <c r="AP16">
        <v>-0.56473700000000004</v>
      </c>
      <c r="AQ16">
        <f t="shared" si="14"/>
        <v>0.29769386838530959</v>
      </c>
      <c r="AS16" s="2">
        <v>0.36659999999999998</v>
      </c>
      <c r="AT16">
        <f t="shared" si="15"/>
        <v>1.625</v>
      </c>
      <c r="AU16" s="1">
        <v>6.96289E-5</v>
      </c>
      <c r="AV16">
        <v>0.40990399999999999</v>
      </c>
      <c r="AW16">
        <v>-0.40990399999999999</v>
      </c>
      <c r="AX16">
        <v>-0.63912800000000003</v>
      </c>
      <c r="AY16">
        <f t="shared" si="3"/>
        <v>0.24150957139438167</v>
      </c>
      <c r="AZ16">
        <f t="shared" si="16"/>
        <v>0.29263930373014774</v>
      </c>
    </row>
    <row r="17" spans="1:52" ht="15" x14ac:dyDescent="0.35">
      <c r="A17" s="2">
        <v>0.39479999999999998</v>
      </c>
      <c r="B17">
        <f t="shared" si="4"/>
        <v>1.75</v>
      </c>
      <c r="C17">
        <v>1.6960599999999999E-4</v>
      </c>
      <c r="D17">
        <v>0.37811299999999998</v>
      </c>
      <c r="E17">
        <v>-0.37811299999999998</v>
      </c>
      <c r="F17">
        <v>-0.63457600000000003</v>
      </c>
      <c r="G17">
        <f t="shared" si="0"/>
        <v>0.58828262928059316</v>
      </c>
      <c r="H17" s="2">
        <f t="shared" si="5"/>
        <v>0.26994302336966058</v>
      </c>
      <c r="J17" s="2">
        <v>0.39479999999999998</v>
      </c>
      <c r="K17">
        <f t="shared" si="6"/>
        <v>1.75</v>
      </c>
      <c r="L17">
        <v>1.0878999999999999E-4</v>
      </c>
      <c r="M17">
        <v>0.382299</v>
      </c>
      <c r="N17">
        <v>-0.382299</v>
      </c>
      <c r="O17">
        <v>-0.67744000000000004</v>
      </c>
      <c r="P17">
        <f t="shared" si="17"/>
        <v>0.58696452099184537</v>
      </c>
      <c r="Q17">
        <f t="shared" si="7"/>
        <v>0.27293149902594693</v>
      </c>
      <c r="S17" s="2">
        <v>0.39479999999999998</v>
      </c>
      <c r="T17">
        <f t="shared" si="8"/>
        <v>1.75</v>
      </c>
      <c r="U17">
        <v>1.28143E-4</v>
      </c>
      <c r="V17">
        <v>0.36403099999999999</v>
      </c>
      <c r="W17">
        <v>-0.36403099999999999</v>
      </c>
      <c r="X17">
        <v>-0.67462800000000001</v>
      </c>
      <c r="Y17">
        <f t="shared" si="2"/>
        <v>0.44446718255193246</v>
      </c>
      <c r="Z17">
        <f t="shared" si="9"/>
        <v>0.2598895799411311</v>
      </c>
      <c r="AB17" s="2">
        <v>0.39479999999999998</v>
      </c>
      <c r="AC17">
        <f t="shared" si="10"/>
        <v>1.75</v>
      </c>
      <c r="AD17">
        <v>1.0050700000000001E-4</v>
      </c>
      <c r="AE17">
        <v>0.378168</v>
      </c>
      <c r="AF17">
        <v>-0.378168</v>
      </c>
      <c r="AG17">
        <v>-0.67041300000000004</v>
      </c>
      <c r="AH17">
        <f t="shared" si="11"/>
        <v>0.348611029215385</v>
      </c>
      <c r="AI17">
        <f t="shared" si="12"/>
        <v>0.26998228905554111</v>
      </c>
      <c r="AK17" s="2">
        <v>0.39479999999999998</v>
      </c>
      <c r="AL17">
        <f t="shared" si="13"/>
        <v>1.75</v>
      </c>
      <c r="AM17">
        <v>2.8830700000000002E-4</v>
      </c>
      <c r="AN17">
        <v>0.409773</v>
      </c>
      <c r="AO17">
        <v>-0.409773</v>
      </c>
      <c r="AP17">
        <v>-0.62165499999999996</v>
      </c>
      <c r="AQ17">
        <f t="shared" si="14"/>
        <v>0.292545780005596</v>
      </c>
      <c r="AS17" s="2">
        <v>0.39479999999999998</v>
      </c>
      <c r="AT17">
        <f t="shared" si="15"/>
        <v>1.75</v>
      </c>
      <c r="AU17" s="1">
        <v>6.6056599999999994E-5</v>
      </c>
      <c r="AV17">
        <v>0.41502699999999998</v>
      </c>
      <c r="AW17">
        <v>-0.41502699999999998</v>
      </c>
      <c r="AX17">
        <v>-0.69725899999999996</v>
      </c>
      <c r="AY17">
        <f t="shared" si="3"/>
        <v>0.22911895999750262</v>
      </c>
      <c r="AZ17">
        <f t="shared" si="16"/>
        <v>0.29629672388952538</v>
      </c>
    </row>
    <row r="18" spans="1:52" ht="15" x14ac:dyDescent="0.35">
      <c r="A18" s="2">
        <v>0.42299999999999999</v>
      </c>
      <c r="B18">
        <f t="shared" si="4"/>
        <v>1.875</v>
      </c>
      <c r="C18">
        <v>1.70834E-4</v>
      </c>
      <c r="D18">
        <v>0.36866300000000002</v>
      </c>
      <c r="E18">
        <v>-0.36866300000000002</v>
      </c>
      <c r="F18">
        <v>-0.68714900000000001</v>
      </c>
      <c r="G18">
        <f t="shared" si="0"/>
        <v>0.59254197782225193</v>
      </c>
      <c r="H18" s="2">
        <f t="shared" si="5"/>
        <v>0.26319646461383023</v>
      </c>
      <c r="J18" s="2">
        <v>0.42299999999999999</v>
      </c>
      <c r="K18">
        <f t="shared" si="6"/>
        <v>1.875</v>
      </c>
      <c r="L18">
        <v>1.0895699999999999E-4</v>
      </c>
      <c r="M18">
        <v>0.37901299999999999</v>
      </c>
      <c r="N18">
        <v>-0.37901299999999999</v>
      </c>
      <c r="O18">
        <v>-0.73105900000000001</v>
      </c>
      <c r="P18">
        <f t="shared" si="17"/>
        <v>0.58786555118768724</v>
      </c>
      <c r="Q18">
        <f t="shared" si="7"/>
        <v>0.27058555277497776</v>
      </c>
      <c r="S18" s="2">
        <v>0.42299999999999999</v>
      </c>
      <c r="T18">
        <f t="shared" si="8"/>
        <v>1.875</v>
      </c>
      <c r="U18">
        <v>1.3266499999999999E-4</v>
      </c>
      <c r="V18">
        <v>0.35418699999999997</v>
      </c>
      <c r="W18">
        <v>-0.35418699999999997</v>
      </c>
      <c r="X18">
        <v>-0.72414599999999996</v>
      </c>
      <c r="Y18">
        <f t="shared" si="2"/>
        <v>0.46015185201885483</v>
      </c>
      <c r="Z18">
        <f t="shared" si="9"/>
        <v>0.25286173609008411</v>
      </c>
      <c r="AB18" s="2">
        <v>0.42299999999999999</v>
      </c>
      <c r="AC18">
        <f t="shared" si="10"/>
        <v>1.875</v>
      </c>
      <c r="AD18">
        <v>1.01572E-4</v>
      </c>
      <c r="AE18">
        <v>0.37765799999999999</v>
      </c>
      <c r="AF18">
        <v>-0.37765799999999999</v>
      </c>
      <c r="AG18">
        <v>-0.72363699999999997</v>
      </c>
      <c r="AH18">
        <f t="shared" ref="AH18:AH29" si="18">AD18/0.000288307</f>
        <v>0.35230500820306127</v>
      </c>
      <c r="AI18">
        <f t="shared" si="12"/>
        <v>0.26961818905919466</v>
      </c>
      <c r="AK18" s="2">
        <v>0.42299999999999999</v>
      </c>
      <c r="AL18">
        <f t="shared" si="13"/>
        <v>1.875</v>
      </c>
      <c r="AM18">
        <v>2.8830700000000002E-4</v>
      </c>
      <c r="AN18">
        <v>0.39732499999999998</v>
      </c>
      <c r="AO18">
        <v>-0.39732499999999998</v>
      </c>
      <c r="AP18">
        <v>-0.67674299999999998</v>
      </c>
      <c r="AQ18">
        <f t="shared" si="14"/>
        <v>0.28365888440849796</v>
      </c>
      <c r="AS18" s="2">
        <v>0.42299999999999999</v>
      </c>
      <c r="AT18">
        <f t="shared" si="15"/>
        <v>1.875</v>
      </c>
      <c r="AU18" s="1">
        <v>5.7401700000000003E-5</v>
      </c>
      <c r="AV18">
        <v>0.42288799999999999</v>
      </c>
      <c r="AW18">
        <v>-0.42288799999999999</v>
      </c>
      <c r="AX18">
        <v>-0.75631800000000005</v>
      </c>
      <c r="AY18">
        <f t="shared" si="3"/>
        <v>0.19909922409098635</v>
      </c>
      <c r="AZ18">
        <f t="shared" si="16"/>
        <v>0.30190886128419026</v>
      </c>
    </row>
    <row r="19" spans="1:52" ht="15" x14ac:dyDescent="0.35">
      <c r="A19" s="2">
        <v>0.45119999999999999</v>
      </c>
      <c r="B19">
        <f t="shared" si="4"/>
        <v>2</v>
      </c>
      <c r="C19">
        <v>1.7123400000000001E-4</v>
      </c>
      <c r="D19">
        <v>0.36457299999999998</v>
      </c>
      <c r="E19">
        <v>-0.36457299999999998</v>
      </c>
      <c r="F19">
        <v>-0.73880000000000001</v>
      </c>
      <c r="G19">
        <f t="shared" si="0"/>
        <v>0.59392938777067505</v>
      </c>
      <c r="H19" s="2">
        <f t="shared" si="5"/>
        <v>0.26027652542744434</v>
      </c>
      <c r="J19" s="2">
        <v>0.45119999999999999</v>
      </c>
      <c r="K19">
        <f t="shared" si="6"/>
        <v>2</v>
      </c>
      <c r="L19">
        <v>1.08683E-4</v>
      </c>
      <c r="M19">
        <v>0.37956899999999999</v>
      </c>
      <c r="N19">
        <v>-0.37956899999999999</v>
      </c>
      <c r="O19">
        <v>-0.78448600000000002</v>
      </c>
      <c r="P19">
        <f t="shared" si="17"/>
        <v>0.58638721421965934</v>
      </c>
      <c r="Q19">
        <f t="shared" si="7"/>
        <v>0.27098249316315148</v>
      </c>
      <c r="S19" s="2">
        <v>0.45119999999999999</v>
      </c>
      <c r="T19">
        <f t="shared" si="8"/>
        <v>2</v>
      </c>
      <c r="U19">
        <v>1.31385E-4</v>
      </c>
      <c r="V19">
        <v>0.34900199999999998</v>
      </c>
      <c r="W19">
        <v>-0.34900199999999998</v>
      </c>
      <c r="X19">
        <v>-0.77328200000000002</v>
      </c>
      <c r="Y19">
        <f t="shared" si="2"/>
        <v>0.45571214018390116</v>
      </c>
      <c r="Z19">
        <f t="shared" si="9"/>
        <v>0.24916005279389569</v>
      </c>
      <c r="AB19" s="2">
        <v>0.45119999999999999</v>
      </c>
      <c r="AC19">
        <f t="shared" si="10"/>
        <v>2</v>
      </c>
      <c r="AD19">
        <v>1.00052E-4</v>
      </c>
      <c r="AE19">
        <v>0.38227100000000003</v>
      </c>
      <c r="AF19">
        <v>-0.38227100000000003</v>
      </c>
      <c r="AG19">
        <v>-0.77715800000000002</v>
      </c>
      <c r="AH19">
        <f t="shared" si="18"/>
        <v>0.34703285039905374</v>
      </c>
      <c r="AI19">
        <f t="shared" si="12"/>
        <v>0.27291150922222596</v>
      </c>
      <c r="AK19" s="2">
        <v>0.45119999999999999</v>
      </c>
      <c r="AL19">
        <f t="shared" si="13"/>
        <v>2</v>
      </c>
      <c r="AM19">
        <v>2.8830700000000002E-4</v>
      </c>
      <c r="AN19">
        <v>0.38452799999999998</v>
      </c>
      <c r="AO19">
        <v>-0.38452799999999998</v>
      </c>
      <c r="AP19">
        <v>-0.73024199999999995</v>
      </c>
      <c r="AQ19">
        <f t="shared" si="14"/>
        <v>0.27452283018644913</v>
      </c>
      <c r="AS19" s="2">
        <v>0.45119999999999999</v>
      </c>
      <c r="AT19">
        <f t="shared" si="15"/>
        <v>2</v>
      </c>
      <c r="AU19" s="1">
        <v>5.7398200000000002E-5</v>
      </c>
      <c r="AV19">
        <v>0.43382999999999999</v>
      </c>
      <c r="AW19">
        <v>-0.43382999999999999</v>
      </c>
      <c r="AX19">
        <v>-0.81674000000000002</v>
      </c>
      <c r="AY19">
        <f t="shared" si="3"/>
        <v>0.19908708425393765</v>
      </c>
      <c r="AZ19">
        <f t="shared" si="16"/>
        <v>0.30972059100972421</v>
      </c>
    </row>
    <row r="20" spans="1:52" ht="15" x14ac:dyDescent="0.35">
      <c r="A20" s="2">
        <v>0.47939999999999999</v>
      </c>
      <c r="B20">
        <f t="shared" si="4"/>
        <v>2.125</v>
      </c>
      <c r="C20">
        <v>1.69366E-4</v>
      </c>
      <c r="D20">
        <v>0.36704799999999999</v>
      </c>
      <c r="E20">
        <v>-0.36704799999999999</v>
      </c>
      <c r="F20">
        <v>-0.79035500000000003</v>
      </c>
      <c r="G20">
        <f t="shared" si="0"/>
        <v>0.58745018331153942</v>
      </c>
      <c r="H20" s="2">
        <f t="shared" si="5"/>
        <v>0.26204348129206662</v>
      </c>
      <c r="J20" s="2">
        <v>0.47939999999999999</v>
      </c>
      <c r="K20">
        <f t="shared" si="6"/>
        <v>2.125</v>
      </c>
      <c r="L20">
        <v>1.0815900000000001E-4</v>
      </c>
      <c r="M20">
        <v>0.384351</v>
      </c>
      <c r="N20">
        <v>-0.384351</v>
      </c>
      <c r="O20">
        <v>-0.83829600000000004</v>
      </c>
      <c r="P20">
        <f t="shared" si="17"/>
        <v>0.58356002965306564</v>
      </c>
      <c r="Q20">
        <f t="shared" si="7"/>
        <v>0.27439646607007012</v>
      </c>
      <c r="S20" s="2">
        <v>0.47939999999999999</v>
      </c>
      <c r="T20">
        <f t="shared" si="8"/>
        <v>2.125</v>
      </c>
      <c r="U20">
        <v>1.3240600000000001E-4</v>
      </c>
      <c r="V20">
        <v>0.34890300000000002</v>
      </c>
      <c r="W20">
        <v>-0.34890300000000002</v>
      </c>
      <c r="X20">
        <v>-0.82278899999999999</v>
      </c>
      <c r="Y20">
        <f t="shared" si="2"/>
        <v>0.45925350407725096</v>
      </c>
      <c r="Z20">
        <f t="shared" si="9"/>
        <v>0.24908937455931082</v>
      </c>
      <c r="AB20" s="2">
        <v>0.47939999999999999</v>
      </c>
      <c r="AC20">
        <f t="shared" si="10"/>
        <v>2.125</v>
      </c>
      <c r="AD20" s="1">
        <v>9.6452299999999998E-5</v>
      </c>
      <c r="AE20">
        <v>0.390621</v>
      </c>
      <c r="AF20">
        <v>-0.390621</v>
      </c>
      <c r="AG20">
        <v>-0.83161600000000002</v>
      </c>
      <c r="AH20">
        <f t="shared" si="18"/>
        <v>0.33454720142070776</v>
      </c>
      <c r="AI20">
        <f t="shared" si="12"/>
        <v>0.27887275426044644</v>
      </c>
      <c r="AK20" s="2">
        <v>0.47939999999999999</v>
      </c>
      <c r="AL20">
        <f t="shared" si="13"/>
        <v>2.125</v>
      </c>
      <c r="AM20">
        <v>2.8830700000000002E-4</v>
      </c>
      <c r="AN20">
        <v>0.375309</v>
      </c>
      <c r="AO20">
        <v>-0.375309</v>
      </c>
      <c r="AP20">
        <v>-0.78284500000000001</v>
      </c>
      <c r="AQ20">
        <f t="shared" si="14"/>
        <v>0.26794118731131683</v>
      </c>
      <c r="AS20" s="2">
        <v>0.47939999999999999</v>
      </c>
      <c r="AT20">
        <f t="shared" si="15"/>
        <v>2.125</v>
      </c>
      <c r="AU20" s="1">
        <v>5.7070200000000001E-5</v>
      </c>
      <c r="AV20">
        <v>0.44476900000000003</v>
      </c>
      <c r="AW20">
        <v>-0.44476900000000003</v>
      </c>
      <c r="AX20">
        <v>-0.87870999999999999</v>
      </c>
      <c r="AY20">
        <f t="shared" si="3"/>
        <v>0.19794940809623074</v>
      </c>
      <c r="AZ20">
        <f t="shared" si="16"/>
        <v>0.31753017897057384</v>
      </c>
    </row>
    <row r="21" spans="1:52" ht="15" x14ac:dyDescent="0.35">
      <c r="A21" s="2">
        <v>0.50759999999999994</v>
      </c>
      <c r="B21">
        <f t="shared" si="4"/>
        <v>2.25</v>
      </c>
      <c r="C21">
        <v>1.6952499999999999E-4</v>
      </c>
      <c r="D21">
        <v>0.37349300000000002</v>
      </c>
      <c r="E21">
        <v>-0.37349300000000002</v>
      </c>
      <c r="F21">
        <v>-0.84252499999999997</v>
      </c>
      <c r="G21">
        <f t="shared" si="0"/>
        <v>0.58800167876603748</v>
      </c>
      <c r="H21" s="2">
        <f t="shared" si="5"/>
        <v>0.2666447057556991</v>
      </c>
      <c r="J21" s="2">
        <v>0.50759999999999994</v>
      </c>
      <c r="K21">
        <f t="shared" si="6"/>
        <v>2.25</v>
      </c>
      <c r="L21">
        <v>1.07167E-4</v>
      </c>
      <c r="M21">
        <v>0.39270699999999997</v>
      </c>
      <c r="N21">
        <v>-0.39270699999999997</v>
      </c>
      <c r="O21">
        <v>-0.89303699999999997</v>
      </c>
      <c r="P21">
        <f t="shared" si="17"/>
        <v>0.5782078023819569</v>
      </c>
      <c r="Q21">
        <f t="shared" si="7"/>
        <v>0.28036199463765937</v>
      </c>
      <c r="S21" s="2">
        <v>0.50759999999999994</v>
      </c>
      <c r="T21">
        <f t="shared" si="8"/>
        <v>2.25</v>
      </c>
      <c r="U21">
        <v>1.2843199999999999E-4</v>
      </c>
      <c r="V21">
        <v>0.354236</v>
      </c>
      <c r="W21">
        <v>-0.354236</v>
      </c>
      <c r="X21">
        <v>-0.87343300000000001</v>
      </c>
      <c r="Y21">
        <f t="shared" si="2"/>
        <v>0.44546958623966809</v>
      </c>
      <c r="Z21">
        <f t="shared" si="9"/>
        <v>0.25289671824659582</v>
      </c>
      <c r="AB21" s="2">
        <v>0.50759999999999994</v>
      </c>
      <c r="AC21">
        <f t="shared" si="10"/>
        <v>2.25</v>
      </c>
      <c r="AD21" s="1">
        <v>9.6149699999999999E-5</v>
      </c>
      <c r="AE21">
        <v>0.40217199999999997</v>
      </c>
      <c r="AF21">
        <v>-0.40217199999999997</v>
      </c>
      <c r="AG21">
        <v>-0.88746899999999995</v>
      </c>
      <c r="AH21">
        <f t="shared" si="18"/>
        <v>0.33349762579472575</v>
      </c>
      <c r="AI21">
        <f t="shared" si="12"/>
        <v>0.2871192622169117</v>
      </c>
      <c r="AK21" s="2">
        <v>0.50759999999999994</v>
      </c>
      <c r="AL21">
        <f t="shared" si="13"/>
        <v>2.25</v>
      </c>
      <c r="AM21">
        <v>2.8830700000000002E-4</v>
      </c>
      <c r="AN21">
        <v>0.37202600000000002</v>
      </c>
      <c r="AO21">
        <v>-0.37202600000000002</v>
      </c>
      <c r="AP21">
        <v>-0.83540599999999998</v>
      </c>
      <c r="AQ21">
        <f t="shared" si="14"/>
        <v>0.26559738282503209</v>
      </c>
      <c r="AS21" s="2">
        <v>0.50759999999999994</v>
      </c>
      <c r="AT21">
        <f t="shared" si="15"/>
        <v>2.25</v>
      </c>
      <c r="AU21" s="1">
        <v>5.75361E-5</v>
      </c>
      <c r="AV21">
        <v>0.454212</v>
      </c>
      <c r="AW21">
        <v>-0.454212</v>
      </c>
      <c r="AX21">
        <v>-0.94211199999999995</v>
      </c>
      <c r="AY21">
        <f t="shared" si="3"/>
        <v>0.19956539383365648</v>
      </c>
      <c r="AZ21">
        <f t="shared" si="16"/>
        <v>0.32427174027547395</v>
      </c>
    </row>
    <row r="22" spans="1:52" ht="15" x14ac:dyDescent="0.35">
      <c r="A22" s="2">
        <v>0.53579999999999994</v>
      </c>
      <c r="B22">
        <f t="shared" si="4"/>
        <v>2.375</v>
      </c>
      <c r="C22">
        <v>1.6759399999999999E-4</v>
      </c>
      <c r="D22">
        <v>0.38458799999999999</v>
      </c>
      <c r="E22">
        <v>-0.38458799999999999</v>
      </c>
      <c r="F22">
        <v>-0.89593400000000001</v>
      </c>
      <c r="G22">
        <f t="shared" si="0"/>
        <v>0.58130395724002537</v>
      </c>
      <c r="H22" s="2">
        <f t="shared" si="5"/>
        <v>0.27456566548013694</v>
      </c>
      <c r="J22" s="2">
        <v>0.53579999999999994</v>
      </c>
      <c r="K22">
        <f t="shared" si="6"/>
        <v>2.375</v>
      </c>
      <c r="L22">
        <v>1.05806E-4</v>
      </c>
      <c r="M22">
        <v>0.4042</v>
      </c>
      <c r="N22">
        <v>-0.4042</v>
      </c>
      <c r="O22">
        <v>-0.949183</v>
      </c>
      <c r="P22">
        <f t="shared" si="17"/>
        <v>0.57086467605536528</v>
      </c>
      <c r="Q22">
        <f t="shared" si="7"/>
        <v>0.28856709514355977</v>
      </c>
      <c r="S22" s="2">
        <v>0.53579999999999994</v>
      </c>
      <c r="T22">
        <f t="shared" si="8"/>
        <v>2.375</v>
      </c>
      <c r="U22">
        <v>1.2882099999999999E-4</v>
      </c>
      <c r="V22">
        <v>0.36497200000000002</v>
      </c>
      <c r="W22">
        <v>-0.36497200000000002</v>
      </c>
      <c r="X22">
        <v>-0.92593899999999996</v>
      </c>
      <c r="Y22">
        <f t="shared" si="2"/>
        <v>0.44681884241450948</v>
      </c>
      <c r="Z22">
        <f t="shared" si="9"/>
        <v>0.26056138013046831</v>
      </c>
      <c r="AB22" s="2">
        <v>0.53579999999999994</v>
      </c>
      <c r="AC22">
        <f t="shared" si="10"/>
        <v>2.375</v>
      </c>
      <c r="AD22" s="1">
        <v>8.9867500000000007E-5</v>
      </c>
      <c r="AE22">
        <v>0.41591499999999998</v>
      </c>
      <c r="AF22">
        <v>-0.41591499999999998</v>
      </c>
      <c r="AG22">
        <v>-0.94513400000000003</v>
      </c>
      <c r="AH22">
        <f t="shared" si="18"/>
        <v>0.31170765884976781</v>
      </c>
      <c r="AI22">
        <f t="shared" si="12"/>
        <v>0.29693068623610502</v>
      </c>
      <c r="AK22" s="2">
        <v>0.53579999999999994</v>
      </c>
      <c r="AL22">
        <f t="shared" si="13"/>
        <v>2.375</v>
      </c>
      <c r="AM22">
        <v>2.8830700000000002E-4</v>
      </c>
      <c r="AN22">
        <v>0.37456299999999998</v>
      </c>
      <c r="AO22">
        <v>-0.37456299999999998</v>
      </c>
      <c r="AP22">
        <v>-0.88867099999999999</v>
      </c>
      <c r="AQ22">
        <f t="shared" si="14"/>
        <v>0.26740860182646503</v>
      </c>
      <c r="AS22" s="2">
        <v>0.53579999999999994</v>
      </c>
      <c r="AT22">
        <f t="shared" si="15"/>
        <v>2.375</v>
      </c>
      <c r="AU22" s="1">
        <v>5.8780199999999997E-5</v>
      </c>
      <c r="AV22">
        <v>0.46259099999999997</v>
      </c>
      <c r="AW22">
        <v>-0.46259099999999997</v>
      </c>
      <c r="AX22">
        <v>-1.00678</v>
      </c>
      <c r="AY22">
        <f t="shared" si="3"/>
        <v>0.20388058562573921</v>
      </c>
      <c r="AZ22">
        <f t="shared" si="16"/>
        <v>0.33025368903897684</v>
      </c>
    </row>
    <row r="23" spans="1:52" ht="15" x14ac:dyDescent="0.35">
      <c r="A23" s="2">
        <v>0.56399999999999995</v>
      </c>
      <c r="B23">
        <f t="shared" si="4"/>
        <v>2.5</v>
      </c>
      <c r="C23">
        <v>1.6521E-4</v>
      </c>
      <c r="D23">
        <v>0.39980100000000002</v>
      </c>
      <c r="E23">
        <v>-0.39980100000000002</v>
      </c>
      <c r="F23">
        <v>-0.95116699999999998</v>
      </c>
      <c r="G23">
        <f t="shared" si="0"/>
        <v>0.57303499394742408</v>
      </c>
      <c r="H23" s="2">
        <f t="shared" si="5"/>
        <v>0.28542655419468171</v>
      </c>
      <c r="J23" s="2">
        <v>0.56399999999999995</v>
      </c>
      <c r="K23">
        <f t="shared" si="6"/>
        <v>2.5</v>
      </c>
      <c r="L23">
        <v>1.0483400000000001E-4</v>
      </c>
      <c r="M23">
        <v>0.41878900000000002</v>
      </c>
      <c r="N23">
        <v>-0.41878900000000002</v>
      </c>
      <c r="O23">
        <v>-1.0071600000000001</v>
      </c>
      <c r="P23">
        <f t="shared" si="17"/>
        <v>0.56562035659214194</v>
      </c>
      <c r="Q23">
        <f t="shared" si="7"/>
        <v>0.29898249680375127</v>
      </c>
      <c r="S23" s="2">
        <v>0.56399999999999995</v>
      </c>
      <c r="T23">
        <f t="shared" si="8"/>
        <v>2.5</v>
      </c>
      <c r="U23">
        <v>1.2584599999999999E-4</v>
      </c>
      <c r="V23">
        <v>0.38089200000000001</v>
      </c>
      <c r="W23">
        <v>-0.38089200000000001</v>
      </c>
      <c r="X23">
        <v>-0.98109199999999996</v>
      </c>
      <c r="Y23">
        <f t="shared" si="2"/>
        <v>0.43649998092311315</v>
      </c>
      <c r="Z23">
        <f t="shared" si="9"/>
        <v>0.27192701138896774</v>
      </c>
      <c r="AB23" s="2">
        <v>0.56399999999999995</v>
      </c>
      <c r="AC23">
        <f t="shared" si="10"/>
        <v>2.5</v>
      </c>
      <c r="AD23" s="1">
        <v>9.1557000000000004E-5</v>
      </c>
      <c r="AE23">
        <v>0.43154399999999998</v>
      </c>
      <c r="AF23">
        <v>-0.43154399999999998</v>
      </c>
      <c r="AG23">
        <v>-1.0048699999999999</v>
      </c>
      <c r="AH23">
        <f t="shared" si="18"/>
        <v>0.31756773161941959</v>
      </c>
      <c r="AI23">
        <f t="shared" si="12"/>
        <v>0.30808856632021858</v>
      </c>
      <c r="AK23" s="2">
        <v>0.56399999999999995</v>
      </c>
      <c r="AL23">
        <f t="shared" si="13"/>
        <v>2.5</v>
      </c>
      <c r="AM23">
        <v>2.8830700000000002E-4</v>
      </c>
      <c r="AN23">
        <v>0.38190000000000002</v>
      </c>
      <c r="AO23">
        <v>-0.38190000000000002</v>
      </c>
      <c r="AP23">
        <v>-0.943272</v>
      </c>
      <c r="AQ23">
        <f t="shared" si="14"/>
        <v>0.27264664432292302</v>
      </c>
      <c r="AS23" s="2">
        <v>0.56399999999999995</v>
      </c>
      <c r="AT23">
        <f t="shared" si="15"/>
        <v>2.5</v>
      </c>
      <c r="AU23" s="1">
        <v>5.8012700000000001E-5</v>
      </c>
      <c r="AV23">
        <v>0.469387</v>
      </c>
      <c r="AW23">
        <v>-0.469387</v>
      </c>
      <c r="AX23">
        <v>-1.07254</v>
      </c>
      <c r="AY23">
        <f t="shared" si="3"/>
        <v>0.20121849278720252</v>
      </c>
      <c r="AZ23">
        <f t="shared" si="16"/>
        <v>0.33510549997068306</v>
      </c>
    </row>
    <row r="24" spans="1:52" ht="15" x14ac:dyDescent="0.35">
      <c r="A24" s="2">
        <v>0.59219999999999995</v>
      </c>
      <c r="B24">
        <f t="shared" si="4"/>
        <v>2.625</v>
      </c>
      <c r="C24">
        <v>1.6255501000000001E-4</v>
      </c>
      <c r="D24">
        <v>0.41869200000000001</v>
      </c>
      <c r="E24">
        <v>-0.41869200000000001</v>
      </c>
      <c r="F24">
        <v>-1.00884</v>
      </c>
      <c r="G24">
        <f t="shared" si="0"/>
        <v>0.56382609510001491</v>
      </c>
      <c r="H24" s="2">
        <f t="shared" si="5"/>
        <v>0.29891324641228928</v>
      </c>
      <c r="J24" s="2">
        <v>0.59219999999999995</v>
      </c>
      <c r="K24">
        <f t="shared" si="6"/>
        <v>2.625</v>
      </c>
      <c r="L24">
        <v>1.03206E-4</v>
      </c>
      <c r="M24">
        <v>0.43764500000000001</v>
      </c>
      <c r="N24">
        <v>-0.43764500000000001</v>
      </c>
      <c r="O24">
        <v>-1.0674699999999999</v>
      </c>
      <c r="P24">
        <f t="shared" si="17"/>
        <v>0.55683666103028218</v>
      </c>
      <c r="Q24">
        <f t="shared" si="7"/>
        <v>0.31244420176670762</v>
      </c>
      <c r="S24" s="2">
        <v>0.59219999999999995</v>
      </c>
      <c r="T24">
        <f t="shared" si="8"/>
        <v>2.625</v>
      </c>
      <c r="U24">
        <v>1.2234499999999999E-4</v>
      </c>
      <c r="V24">
        <v>0.40248099999999998</v>
      </c>
      <c r="W24">
        <v>-0.40248099999999998</v>
      </c>
      <c r="X24">
        <v>-1.0397000000000001</v>
      </c>
      <c r="Y24">
        <f t="shared" si="2"/>
        <v>0.42435667534954058</v>
      </c>
      <c r="Z24">
        <f t="shared" si="9"/>
        <v>0.28733986397940392</v>
      </c>
      <c r="AB24" s="2">
        <v>0.59219999999999995</v>
      </c>
      <c r="AC24">
        <f t="shared" si="10"/>
        <v>2.625</v>
      </c>
      <c r="AD24" s="1">
        <v>8.8686500000000005E-5</v>
      </c>
      <c r="AE24">
        <v>0.44833400000000001</v>
      </c>
      <c r="AF24">
        <v>-0.44833400000000001</v>
      </c>
      <c r="AG24">
        <v>-1.0668800000000001</v>
      </c>
      <c r="AH24">
        <f t="shared" si="18"/>
        <v>0.30761133097704879</v>
      </c>
      <c r="AI24">
        <f t="shared" si="12"/>
        <v>0.3200753093371913</v>
      </c>
      <c r="AK24" s="2">
        <v>0.59219999999999995</v>
      </c>
      <c r="AL24">
        <f t="shared" si="13"/>
        <v>2.625</v>
      </c>
      <c r="AM24">
        <v>2.8830700000000002E-4</v>
      </c>
      <c r="AN24">
        <v>0.39351700000000001</v>
      </c>
      <c r="AO24">
        <v>-0.39351700000000001</v>
      </c>
      <c r="AP24">
        <v>-0.99982099999999996</v>
      </c>
      <c r="AQ24">
        <f t="shared" si="14"/>
        <v>0.28094027110244485</v>
      </c>
      <c r="AS24" s="2">
        <v>0.59219999999999995</v>
      </c>
      <c r="AT24">
        <f t="shared" si="15"/>
        <v>2.625</v>
      </c>
      <c r="AU24" s="1">
        <v>6.2446400000000006E-5</v>
      </c>
      <c r="AV24">
        <v>0.475632</v>
      </c>
      <c r="AW24">
        <v>-0.475632</v>
      </c>
      <c r="AX24">
        <v>-1.1392100000000001</v>
      </c>
      <c r="AY24">
        <f t="shared" si="3"/>
        <v>0.21659689150801056</v>
      </c>
      <c r="AZ24">
        <f t="shared" si="16"/>
        <v>0.33956394012202279</v>
      </c>
    </row>
    <row r="25" spans="1:52" ht="15" x14ac:dyDescent="0.35">
      <c r="A25" s="2">
        <v>0.62039999999999995</v>
      </c>
      <c r="B25">
        <f t="shared" si="4"/>
        <v>2.75</v>
      </c>
      <c r="C25">
        <v>1.5763881400000001E-4</v>
      </c>
      <c r="D25">
        <v>0.44289200000000001</v>
      </c>
      <c r="E25">
        <v>-0.44289200000000001</v>
      </c>
      <c r="F25">
        <v>-1.0695300000000001</v>
      </c>
      <c r="G25">
        <f t="shared" si="0"/>
        <v>0.54677414700302107</v>
      </c>
      <c r="H25" s="2">
        <f t="shared" si="5"/>
        <v>0.31619014819970676</v>
      </c>
      <c r="J25" s="2">
        <v>0.62039999999999995</v>
      </c>
      <c r="K25">
        <f t="shared" si="6"/>
        <v>2.75</v>
      </c>
      <c r="L25">
        <v>1.01001E-4</v>
      </c>
      <c r="M25">
        <v>0.46173700000000001</v>
      </c>
      <c r="N25">
        <v>-0.46173700000000001</v>
      </c>
      <c r="O25">
        <v>-1.1308100000000001</v>
      </c>
      <c r="P25">
        <f t="shared" si="17"/>
        <v>0.54493982521093276</v>
      </c>
      <c r="Q25">
        <f t="shared" si="7"/>
        <v>0.32964400002548705</v>
      </c>
      <c r="S25" s="2">
        <v>0.62039999999999995</v>
      </c>
      <c r="T25">
        <f t="shared" si="8"/>
        <v>2.75</v>
      </c>
      <c r="U25">
        <v>1.18159E-4</v>
      </c>
      <c r="V25">
        <v>0.43004500000000001</v>
      </c>
      <c r="W25">
        <v>-0.43004500000000001</v>
      </c>
      <c r="X25">
        <v>-1.10263</v>
      </c>
      <c r="Y25">
        <f>U25/0.000288307</f>
        <v>0.40983743023929353</v>
      </c>
      <c r="Z25">
        <f t="shared" si="9"/>
        <v>0.30701839789958474</v>
      </c>
      <c r="AB25" s="2">
        <v>0.62039999999999995</v>
      </c>
      <c r="AC25">
        <f t="shared" si="10"/>
        <v>2.75</v>
      </c>
      <c r="AD25" s="1">
        <v>8.3585999999999996E-5</v>
      </c>
      <c r="AE25">
        <v>0.46855400000000003</v>
      </c>
      <c r="AF25">
        <v>-0.46855400000000003</v>
      </c>
      <c r="AG25">
        <v>-1.13148</v>
      </c>
      <c r="AH25">
        <f t="shared" si="18"/>
        <v>0.28992011987221949</v>
      </c>
      <c r="AI25">
        <f t="shared" si="12"/>
        <v>0.33451080330998395</v>
      </c>
      <c r="AK25" s="2">
        <v>0.62039999999999995</v>
      </c>
      <c r="AL25">
        <f t="shared" si="13"/>
        <v>2.75</v>
      </c>
      <c r="AM25">
        <v>2.8830700000000002E-4</v>
      </c>
      <c r="AN25">
        <v>0.40953000000000001</v>
      </c>
      <c r="AO25">
        <v>-0.40953000000000001</v>
      </c>
      <c r="AP25">
        <v>-1.0589299999999999</v>
      </c>
      <c r="AQ25">
        <f t="shared" si="14"/>
        <v>0.29237229706616041</v>
      </c>
      <c r="AS25" s="2">
        <v>0.62039999999999995</v>
      </c>
      <c r="AT25">
        <f t="shared" si="15"/>
        <v>2.75</v>
      </c>
      <c r="AU25" s="1">
        <v>6.2930500000000003E-5</v>
      </c>
      <c r="AV25">
        <v>0.48633850000000001</v>
      </c>
      <c r="AW25">
        <v>-0.48338500000000001</v>
      </c>
      <c r="AX25">
        <v>-1.20678</v>
      </c>
      <c r="AY25">
        <f t="shared" si="3"/>
        <v>0.21827600439808953</v>
      </c>
      <c r="AZ25">
        <f t="shared" si="16"/>
        <v>0.34720754131983211</v>
      </c>
    </row>
    <row r="26" spans="1:52" ht="15" x14ac:dyDescent="0.35">
      <c r="A26" s="2">
        <v>0.64859999999999995</v>
      </c>
      <c r="B26">
        <f t="shared" si="4"/>
        <v>2.875</v>
      </c>
      <c r="C26">
        <v>1.53392E-4</v>
      </c>
      <c r="D26">
        <v>0.47259699999999999</v>
      </c>
      <c r="E26">
        <v>-0.47259699999999999</v>
      </c>
      <c r="F26">
        <v>-1.1339900000000001</v>
      </c>
      <c r="G26">
        <f t="shared" si="0"/>
        <v>0.53204396702126544</v>
      </c>
      <c r="H26" s="2">
        <f t="shared" si="5"/>
        <v>0.33739718818298098</v>
      </c>
      <c r="J26" s="2">
        <v>0.64859999999999995</v>
      </c>
      <c r="K26">
        <f t="shared" si="6"/>
        <v>2.875</v>
      </c>
      <c r="L26" s="1">
        <v>9.8375099999999999E-5</v>
      </c>
      <c r="M26">
        <v>0.49191699999999999</v>
      </c>
      <c r="N26">
        <v>-0.49191699999999999</v>
      </c>
      <c r="O26">
        <v>-1.1979500000000001</v>
      </c>
      <c r="P26">
        <f t="shared" si="17"/>
        <v>0.53077206957463818</v>
      </c>
      <c r="Q26">
        <f t="shared" si="7"/>
        <v>0.3511901527504564</v>
      </c>
      <c r="S26" s="2">
        <v>0.64859999999999995</v>
      </c>
      <c r="T26">
        <f t="shared" si="8"/>
        <v>2.875</v>
      </c>
      <c r="U26">
        <v>1.10229E-4</v>
      </c>
      <c r="V26">
        <v>0.46372999999999998</v>
      </c>
      <c r="W26">
        <v>-0.46372999999999998</v>
      </c>
      <c r="X26">
        <v>-1.1711199999999999</v>
      </c>
      <c r="Y26">
        <f t="shared" si="2"/>
        <v>0.38233202801180688</v>
      </c>
      <c r="Z26">
        <f t="shared" si="9"/>
        <v>0.33106684569748379</v>
      </c>
      <c r="AB26" s="2">
        <v>0.64859999999999995</v>
      </c>
      <c r="AC26">
        <f t="shared" si="10"/>
        <v>2.875</v>
      </c>
      <c r="AD26" s="1">
        <v>8.15949E-5</v>
      </c>
      <c r="AE26">
        <v>0.49796600000000002</v>
      </c>
      <c r="AF26">
        <v>-0.49796499999999999</v>
      </c>
      <c r="AG26">
        <v>-1.1994800000000001</v>
      </c>
      <c r="AH26">
        <f t="shared" si="18"/>
        <v>0.28301394000145674</v>
      </c>
      <c r="AI26">
        <f t="shared" si="12"/>
        <v>0.35550866427574934</v>
      </c>
      <c r="AK26" s="2">
        <v>0.64859999999999995</v>
      </c>
      <c r="AL26">
        <f t="shared" si="13"/>
        <v>2.875</v>
      </c>
      <c r="AM26">
        <v>2.8830700000000002E-4</v>
      </c>
      <c r="AN26">
        <v>0.42973699999999998</v>
      </c>
      <c r="AO26">
        <v>-0.42973699999999998</v>
      </c>
      <c r="AP26">
        <v>-1.1212299999999999</v>
      </c>
      <c r="AQ26">
        <f t="shared" si="14"/>
        <v>0.30679851005865399</v>
      </c>
      <c r="AS26" s="2">
        <v>0.64859999999999995</v>
      </c>
      <c r="AT26">
        <f t="shared" si="15"/>
        <v>2.875</v>
      </c>
      <c r="AU26" s="1">
        <v>6.0704500000000001E-5</v>
      </c>
      <c r="AV26">
        <v>0.50319599999999998</v>
      </c>
      <c r="AW26">
        <v>-0.50319499999999995</v>
      </c>
      <c r="AX26">
        <v>-1.2761400000000001</v>
      </c>
      <c r="AY26">
        <f t="shared" si="3"/>
        <v>0.21055506803511534</v>
      </c>
      <c r="AZ26">
        <f t="shared" si="16"/>
        <v>0.35924247404220361</v>
      </c>
    </row>
    <row r="27" spans="1:52" ht="15" x14ac:dyDescent="0.35">
      <c r="A27" s="2">
        <v>0.67679999999999996</v>
      </c>
      <c r="B27">
        <f t="shared" si="4"/>
        <v>3</v>
      </c>
      <c r="C27">
        <v>1.50746E-4</v>
      </c>
      <c r="D27">
        <v>0.50950700000000004</v>
      </c>
      <c r="E27">
        <v>-0.50950700000000004</v>
      </c>
      <c r="F27">
        <v>-1.2031400000000001</v>
      </c>
      <c r="G27">
        <f t="shared" si="0"/>
        <v>0.52286625021244715</v>
      </c>
      <c r="H27" s="2">
        <f t="shared" si="5"/>
        <v>0.36374803301659997</v>
      </c>
      <c r="J27" s="2">
        <v>0.67679999999999996</v>
      </c>
      <c r="K27">
        <f t="shared" si="6"/>
        <v>3</v>
      </c>
      <c r="L27" s="1">
        <v>9.5936900000000006E-5</v>
      </c>
      <c r="M27">
        <v>0.532142</v>
      </c>
      <c r="N27">
        <v>-0.532142</v>
      </c>
      <c r="O27">
        <v>-1.27</v>
      </c>
      <c r="P27">
        <f t="shared" si="17"/>
        <v>0.51761702871534676</v>
      </c>
      <c r="Q27">
        <f t="shared" si="7"/>
        <v>0.37990764756032702</v>
      </c>
      <c r="S27" s="2">
        <v>0.67679999999999996</v>
      </c>
      <c r="T27">
        <f t="shared" si="8"/>
        <v>3</v>
      </c>
      <c r="U27">
        <v>1.08476E-4</v>
      </c>
      <c r="V27">
        <v>0.50981799999999999</v>
      </c>
      <c r="W27">
        <v>-0.50981799999999999</v>
      </c>
      <c r="X27">
        <v>-1.2464299999999999</v>
      </c>
      <c r="Y27">
        <f t="shared" si="2"/>
        <v>0.37625170391284285</v>
      </c>
      <c r="Z27">
        <f t="shared" si="9"/>
        <v>0.3639700626222151</v>
      </c>
      <c r="AB27" s="2">
        <v>0.67679999999999996</v>
      </c>
      <c r="AC27">
        <f t="shared" si="10"/>
        <v>3</v>
      </c>
      <c r="AD27" s="1">
        <v>7.4352500000000003E-5</v>
      </c>
      <c r="AE27">
        <v>0.54038399999999998</v>
      </c>
      <c r="AF27">
        <v>-0.54038399999999998</v>
      </c>
      <c r="AG27">
        <v>-1.27257</v>
      </c>
      <c r="AH27">
        <f t="shared" si="18"/>
        <v>0.25789349547530932</v>
      </c>
      <c r="AI27">
        <f t="shared" si="12"/>
        <v>0.38579178906990941</v>
      </c>
      <c r="AK27" s="2">
        <v>0.67679999999999996</v>
      </c>
      <c r="AL27">
        <f t="shared" si="13"/>
        <v>3</v>
      </c>
      <c r="AM27">
        <v>2.8830700000000002E-4</v>
      </c>
      <c r="AN27">
        <v>0.45650210000000002</v>
      </c>
      <c r="AO27">
        <v>-0.45502100000000001</v>
      </c>
      <c r="AP27">
        <v>-1.1874400000000001</v>
      </c>
      <c r="AQ27">
        <f t="shared" si="14"/>
        <v>0.32590669204338157</v>
      </c>
      <c r="AS27" s="2">
        <v>0.67679999999999996</v>
      </c>
      <c r="AT27">
        <f t="shared" si="15"/>
        <v>3</v>
      </c>
      <c r="AU27" s="1">
        <v>5.5790800000000001E-5</v>
      </c>
      <c r="AV27">
        <v>0.54114200000000001</v>
      </c>
      <c r="AW27">
        <v>-0.54113900000000004</v>
      </c>
      <c r="AX27">
        <v>-1.3495999999999999</v>
      </c>
      <c r="AY27">
        <f t="shared" si="3"/>
        <v>0.19351177737619968</v>
      </c>
      <c r="AZ27">
        <f t="shared" si="16"/>
        <v>0.38633294161349879</v>
      </c>
    </row>
    <row r="28" spans="1:52" ht="15" x14ac:dyDescent="0.35">
      <c r="A28" s="2">
        <v>0.70499999999999996</v>
      </c>
      <c r="B28">
        <f t="shared" si="4"/>
        <v>3.125</v>
      </c>
      <c r="C28">
        <v>1.45926E-4</v>
      </c>
      <c r="D28">
        <v>0.55379500000000004</v>
      </c>
      <c r="E28">
        <v>-0.55379500000000004</v>
      </c>
      <c r="F28">
        <v>-1.2780100000000001</v>
      </c>
      <c r="G28">
        <f t="shared" si="0"/>
        <v>0.50614796033394949</v>
      </c>
      <c r="H28" s="2">
        <f t="shared" si="5"/>
        <v>0.39536619113069688</v>
      </c>
      <c r="J28" s="2">
        <v>0.70499999999999996</v>
      </c>
      <c r="K28">
        <f t="shared" si="6"/>
        <v>3.125</v>
      </c>
      <c r="L28" s="1">
        <v>9.2931999999999997E-5</v>
      </c>
      <c r="M28">
        <v>0.583561</v>
      </c>
      <c r="N28">
        <v>-0.583561</v>
      </c>
      <c r="O28">
        <v>-1.3486</v>
      </c>
      <c r="P28">
        <f t="shared" si="17"/>
        <v>0.5014044201196266</v>
      </c>
      <c r="Q28">
        <f t="shared" si="7"/>
        <v>0.41661678032922039</v>
      </c>
      <c r="S28" s="2">
        <v>0.70499999999999996</v>
      </c>
      <c r="T28">
        <f t="shared" si="8"/>
        <v>3.125</v>
      </c>
      <c r="U28" s="1">
        <v>9.9959599999999998E-5</v>
      </c>
      <c r="V28">
        <v>0.55613400000000002</v>
      </c>
      <c r="W28">
        <v>-0.55613400000000002</v>
      </c>
      <c r="X28">
        <v>-1.32866</v>
      </c>
      <c r="Y28">
        <f t="shared" si="2"/>
        <v>0.34671235870096806</v>
      </c>
      <c r="Z28">
        <f t="shared" si="9"/>
        <v>0.39703605366296008</v>
      </c>
      <c r="AB28" s="2">
        <v>0.70499999999999996</v>
      </c>
      <c r="AC28">
        <f t="shared" si="10"/>
        <v>3.125</v>
      </c>
      <c r="AD28" s="1">
        <v>7.2189100000000003E-5</v>
      </c>
      <c r="AE28">
        <v>0.59123000000000003</v>
      </c>
      <c r="AF28">
        <v>-0.59123000000000003</v>
      </c>
      <c r="AG28">
        <v>-1.3652340000000001</v>
      </c>
      <c r="AH28">
        <f t="shared" si="18"/>
        <v>0.25038968876926332</v>
      </c>
      <c r="AI28">
        <f t="shared" si="12"/>
        <v>0.42209184478408424</v>
      </c>
      <c r="AK28" s="2">
        <v>0.70499999999999996</v>
      </c>
      <c r="AL28">
        <f t="shared" si="13"/>
        <v>3.125</v>
      </c>
      <c r="AM28">
        <v>2.8830700000000002E-4</v>
      </c>
      <c r="AN28">
        <v>0.521513</v>
      </c>
      <c r="AO28">
        <v>-0.521513</v>
      </c>
      <c r="AP28">
        <v>-1.25834</v>
      </c>
      <c r="AQ28">
        <f t="shared" si="14"/>
        <v>0.37231937528353115</v>
      </c>
      <c r="AS28" s="2">
        <v>0.70499999999999996</v>
      </c>
      <c r="AT28">
        <f t="shared" si="15"/>
        <v>3.125</v>
      </c>
      <c r="AU28" s="1">
        <v>5.0846500000000002E-5</v>
      </c>
      <c r="AV28">
        <v>0.58911999999999998</v>
      </c>
      <c r="AW28">
        <v>-0.58911800000000003</v>
      </c>
      <c r="AX28">
        <v>-1.42919</v>
      </c>
      <c r="AY28">
        <f t="shared" si="3"/>
        <v>0.17636234985622964</v>
      </c>
      <c r="AZ28">
        <f t="shared" si="16"/>
        <v>0.42058547028939613</v>
      </c>
    </row>
    <row r="29" spans="1:52" ht="15" x14ac:dyDescent="0.35">
      <c r="A29" s="2">
        <v>0.73319999999999996</v>
      </c>
      <c r="B29">
        <f t="shared" si="4"/>
        <v>3.25</v>
      </c>
      <c r="C29">
        <v>1.42278E-4</v>
      </c>
      <c r="D29">
        <v>0.603877</v>
      </c>
      <c r="E29">
        <v>-0.603877</v>
      </c>
      <c r="F29">
        <v>-1.35958</v>
      </c>
      <c r="G29">
        <f t="shared" si="0"/>
        <v>0.49349478160433147</v>
      </c>
      <c r="H29" s="2">
        <f t="shared" si="5"/>
        <v>0.4311208107719135</v>
      </c>
      <c r="J29" s="2">
        <v>0.73319999999999996</v>
      </c>
      <c r="K29">
        <f t="shared" si="6"/>
        <v>3.25</v>
      </c>
      <c r="L29" s="1">
        <v>8.9796999999999994E-5</v>
      </c>
      <c r="M29">
        <v>0.63587300000000002</v>
      </c>
      <c r="N29">
        <v>-0.63587199999999999</v>
      </c>
      <c r="O29">
        <v>-1.4343999999999999</v>
      </c>
      <c r="P29">
        <f t="shared" si="17"/>
        <v>0.48448987123361281</v>
      </c>
      <c r="Q29">
        <f t="shared" si="7"/>
        <v>0.45396344505250069</v>
      </c>
      <c r="S29" s="2">
        <v>0.73319999999999996</v>
      </c>
      <c r="T29">
        <f t="shared" si="8"/>
        <v>3.25</v>
      </c>
      <c r="U29" s="1">
        <v>9.8444700000000003E-5</v>
      </c>
      <c r="V29">
        <v>0.61516899999999997</v>
      </c>
      <c r="W29">
        <v>-0.61516599999999999</v>
      </c>
      <c r="X29">
        <v>-1.4038999999999999</v>
      </c>
      <c r="Y29">
        <f t="shared" si="2"/>
        <v>0.34145789037380292</v>
      </c>
      <c r="Z29">
        <f t="shared" si="9"/>
        <v>0.43918241304395966</v>
      </c>
      <c r="AB29" s="2">
        <v>0.73319999999999996</v>
      </c>
      <c r="AC29">
        <f t="shared" si="10"/>
        <v>3.25</v>
      </c>
      <c r="AD29" s="1">
        <v>6.7421299999999998E-5</v>
      </c>
      <c r="AE29">
        <v>0.64452100000000001</v>
      </c>
      <c r="AF29">
        <v>-0.64452100000000001</v>
      </c>
      <c r="AG29">
        <v>-1.4594199999999999</v>
      </c>
      <c r="AH29">
        <f t="shared" si="18"/>
        <v>0.23385245588903494</v>
      </c>
      <c r="AI29">
        <f t="shared" si="12"/>
        <v>0.46013743871603729</v>
      </c>
      <c r="AK29" s="2">
        <v>0.73319999999999996</v>
      </c>
      <c r="AL29">
        <f t="shared" si="13"/>
        <v>3.25</v>
      </c>
      <c r="AM29">
        <v>2.8830700000000002E-4</v>
      </c>
      <c r="AN29">
        <v>0.56275299999999995</v>
      </c>
      <c r="AO29">
        <v>-0.56275299999999995</v>
      </c>
      <c r="AP29">
        <v>-1.3347</v>
      </c>
      <c r="AQ29">
        <f t="shared" si="14"/>
        <v>0.40176150047828718</v>
      </c>
      <c r="AS29" s="2">
        <v>0.73319999999999996</v>
      </c>
      <c r="AT29">
        <f t="shared" si="15"/>
        <v>3.25</v>
      </c>
      <c r="AU29" s="1">
        <v>4.6733700000000003E-5</v>
      </c>
      <c r="AV29">
        <v>0.64632999999999996</v>
      </c>
      <c r="AW29">
        <v>-0.64625500000000002</v>
      </c>
      <c r="AX29">
        <v>-1.5164</v>
      </c>
      <c r="AY29">
        <f t="shared" si="3"/>
        <v>0.16209700076654399</v>
      </c>
      <c r="AZ29">
        <f t="shared" si="16"/>
        <v>0.46142892282072479</v>
      </c>
    </row>
    <row r="30" spans="1:52" ht="15" x14ac:dyDescent="0.35">
      <c r="A30" s="2"/>
      <c r="H30" s="2"/>
      <c r="L30" s="1"/>
      <c r="S30" s="1"/>
      <c r="U30" s="1"/>
      <c r="X30" s="2"/>
      <c r="Z30" s="1"/>
    </row>
    <row r="31" spans="1:52" ht="15" x14ac:dyDescent="0.35">
      <c r="A31" s="2"/>
      <c r="H31" s="2"/>
      <c r="J31" s="1"/>
      <c r="L31" s="1"/>
      <c r="S31" s="1"/>
      <c r="Z31" s="1"/>
    </row>
    <row r="32" spans="1:52" ht="15" x14ac:dyDescent="0.35">
      <c r="A32" s="2"/>
      <c r="H32" s="2"/>
      <c r="J32" s="1"/>
    </row>
    <row r="33" spans="1:44" ht="15" x14ac:dyDescent="0.35">
      <c r="A33" s="2"/>
      <c r="H33" s="2"/>
    </row>
    <row r="34" spans="1:44" ht="15" x14ac:dyDescent="0.35">
      <c r="A34" s="2"/>
    </row>
    <row r="35" spans="1:44" ht="25.2" x14ac:dyDescent="0.45">
      <c r="C35" s="4" t="str">
        <f>"Aₜ = 0.2, n = 0.8, K"&amp;_xlfn.UNICHAR(8323)</f>
        <v>Aₜ = 0.2, n = 0.8, K₃</v>
      </c>
      <c r="D35" s="3"/>
      <c r="L35" s="4" t="str">
        <f>"Aₜ = 0.2, n = 0.8, K"&amp;_xlfn.UNICHAR(8324)</f>
        <v>Aₜ = 0.2, n = 0.8, K₄</v>
      </c>
      <c r="M35" s="3"/>
      <c r="U35" s="4" t="str">
        <f>"Aₜ = 0.2, n = 0.7, K"&amp;_xlfn.UNICHAR(8323)</f>
        <v>Aₜ = 0.2, n = 0.7, K₃</v>
      </c>
      <c r="V35" s="3"/>
      <c r="AD35" s="4" t="str">
        <f>"Aₜ = 0.2, n = 0.6, K"&amp;_xlfn.UNICHAR(8323)</f>
        <v>Aₜ = 0.2, n = 0.6, K₃</v>
      </c>
      <c r="AE35" s="3"/>
      <c r="AM35" s="4" t="str">
        <f>"Aₜ = 0.2, n = 0.5, K"&amp;_xlfn.UNICHAR(8323)</f>
        <v>Aₜ = 0.2, n = 0.5, K₃</v>
      </c>
      <c r="AN35" s="4"/>
      <c r="AO35" s="4"/>
    </row>
    <row r="36" spans="1:44" ht="15.6" x14ac:dyDescent="0.35">
      <c r="A36" t="s">
        <v>6</v>
      </c>
      <c r="B36" t="s">
        <v>7</v>
      </c>
      <c r="C36" t="s">
        <v>0</v>
      </c>
      <c r="D36" t="s">
        <v>1</v>
      </c>
      <c r="E36" t="s">
        <v>2</v>
      </c>
      <c r="F36" t="s">
        <v>3</v>
      </c>
      <c r="G36" t="s">
        <v>5</v>
      </c>
      <c r="H36" t="s">
        <v>4</v>
      </c>
      <c r="J36" t="s">
        <v>6</v>
      </c>
      <c r="K36" t="s">
        <v>7</v>
      </c>
      <c r="L36" t="s">
        <v>0</v>
      </c>
      <c r="M36" t="s">
        <v>1</v>
      </c>
      <c r="N36" t="s">
        <v>2</v>
      </c>
      <c r="O36" t="s">
        <v>3</v>
      </c>
      <c r="P36" t="s">
        <v>5</v>
      </c>
      <c r="Q36" t="s">
        <v>4</v>
      </c>
      <c r="S36" t="s">
        <v>6</v>
      </c>
      <c r="T36" t="s">
        <v>7</v>
      </c>
      <c r="U36" t="s">
        <v>0</v>
      </c>
      <c r="V36" t="s">
        <v>1</v>
      </c>
      <c r="W36" t="s">
        <v>2</v>
      </c>
      <c r="X36" t="s">
        <v>3</v>
      </c>
      <c r="Y36" t="s">
        <v>5</v>
      </c>
      <c r="Z36" t="s">
        <v>4</v>
      </c>
      <c r="AB36" t="s">
        <v>6</v>
      </c>
      <c r="AC36" t="s">
        <v>7</v>
      </c>
      <c r="AD36" t="s">
        <v>0</v>
      </c>
      <c r="AE36" t="s">
        <v>1</v>
      </c>
      <c r="AF36" t="s">
        <v>2</v>
      </c>
      <c r="AG36" t="s">
        <v>3</v>
      </c>
      <c r="AH36" t="s">
        <v>5</v>
      </c>
      <c r="AI36" t="s">
        <v>4</v>
      </c>
      <c r="AK36" t="s">
        <v>6</v>
      </c>
      <c r="AL36" t="s">
        <v>7</v>
      </c>
      <c r="AM36" t="s">
        <v>0</v>
      </c>
      <c r="AN36" t="s">
        <v>1</v>
      </c>
      <c r="AO36" t="s">
        <v>2</v>
      </c>
      <c r="AP36">
        <v>-0.1</v>
      </c>
      <c r="AQ36" t="s">
        <v>5</v>
      </c>
      <c r="AR36" t="s">
        <v>4</v>
      </c>
    </row>
    <row r="37" spans="1:44" ht="15" x14ac:dyDescent="0.35">
      <c r="A37" s="2">
        <v>0</v>
      </c>
      <c r="B37">
        <v>0</v>
      </c>
      <c r="C37">
        <v>2.8830700000000002E-4</v>
      </c>
      <c r="D37">
        <v>0</v>
      </c>
      <c r="E37">
        <v>0</v>
      </c>
      <c r="F37">
        <v>-0.1</v>
      </c>
      <c r="G37">
        <v>1</v>
      </c>
      <c r="H37" s="2">
        <v>0</v>
      </c>
      <c r="J37" s="2">
        <v>0</v>
      </c>
      <c r="K37">
        <v>0</v>
      </c>
      <c r="L37">
        <v>1.85343E-4</v>
      </c>
      <c r="M37">
        <v>0</v>
      </c>
      <c r="N37">
        <v>0</v>
      </c>
      <c r="O37">
        <v>-0.1</v>
      </c>
      <c r="P37">
        <v>1</v>
      </c>
      <c r="Q37" s="2">
        <v>0</v>
      </c>
      <c r="S37" s="2">
        <v>0</v>
      </c>
      <c r="T37">
        <v>0</v>
      </c>
      <c r="U37">
        <v>2.8830700000000002E-4</v>
      </c>
      <c r="V37">
        <v>0</v>
      </c>
      <c r="W37">
        <v>0</v>
      </c>
      <c r="X37">
        <v>-0.1</v>
      </c>
      <c r="Y37">
        <v>1</v>
      </c>
      <c r="Z37" s="2">
        <v>0</v>
      </c>
      <c r="AB37" s="2">
        <v>0</v>
      </c>
      <c r="AC37">
        <v>0</v>
      </c>
      <c r="AD37">
        <v>2.8830700000000002E-4</v>
      </c>
      <c r="AE37">
        <v>0</v>
      </c>
      <c r="AF37">
        <v>0</v>
      </c>
      <c r="AG37">
        <v>-0.1</v>
      </c>
      <c r="AH37">
        <v>1</v>
      </c>
      <c r="AI37" s="2">
        <v>0</v>
      </c>
      <c r="AK37" s="2">
        <v>0</v>
      </c>
      <c r="AL37">
        <v>0</v>
      </c>
      <c r="AM37">
        <v>2.8830700000000002E-4</v>
      </c>
      <c r="AN37">
        <v>0</v>
      </c>
      <c r="AO37">
        <v>0</v>
      </c>
      <c r="AQ37">
        <v>1</v>
      </c>
      <c r="AR37" s="2">
        <v>0</v>
      </c>
    </row>
    <row r="38" spans="1:44" ht="15" x14ac:dyDescent="0.35">
      <c r="A38" s="2">
        <v>0.04</v>
      </c>
      <c r="B38">
        <v>0.125</v>
      </c>
      <c r="C38">
        <v>2.7487513999999998E-4</v>
      </c>
      <c r="D38">
        <v>9.1025461489999994E-3</v>
      </c>
      <c r="E38">
        <v>-5.4614900000000003E-3</v>
      </c>
      <c r="F38">
        <v>-0.100517</v>
      </c>
      <c r="G38">
        <f>C38/0.000288307</f>
        <v>0.95341125952543626</v>
      </c>
      <c r="H38">
        <f>D38/1.40071410359145</f>
        <v>6.4985039599879425E-3</v>
      </c>
      <c r="J38">
        <v>0.04</v>
      </c>
      <c r="K38">
        <v>0.125</v>
      </c>
      <c r="L38">
        <v>1.7802755000000001E-4</v>
      </c>
      <c r="M38">
        <v>1.09377E-2</v>
      </c>
      <c r="N38">
        <v>-1.09377E-2</v>
      </c>
      <c r="O38">
        <v>-0.10057099999999999</v>
      </c>
      <c r="P38">
        <f>L38/0.000185343</f>
        <v>0.96053020615831186</v>
      </c>
      <c r="Q38">
        <f>M38/1.40071410359145</f>
        <v>7.8086598628196776E-3</v>
      </c>
      <c r="S38">
        <v>0.04</v>
      </c>
      <c r="T38">
        <v>0.125</v>
      </c>
      <c r="U38">
        <v>2.6549137000000001E-4</v>
      </c>
      <c r="V38">
        <v>9.9152600000000004E-3</v>
      </c>
      <c r="W38">
        <v>-9.1526000000000003E-3</v>
      </c>
      <c r="X38">
        <v>-0.100707</v>
      </c>
      <c r="Y38">
        <f>U38/0.000288307</f>
        <v>0.92086341989615239</v>
      </c>
      <c r="Z38">
        <f>V38/1.40071410359145</f>
        <v>7.0787179015169037E-3</v>
      </c>
      <c r="AB38">
        <v>0.04</v>
      </c>
      <c r="AC38">
        <v>0.125</v>
      </c>
      <c r="AD38">
        <v>2.70857E-4</v>
      </c>
      <c r="AE38">
        <v>9.3337530000000002E-3</v>
      </c>
      <c r="AF38">
        <v>-3.33753E-3</v>
      </c>
      <c r="AG38">
        <v>-0.100254</v>
      </c>
      <c r="AH38">
        <f>AD39/0.000288307</f>
        <v>0.85325711828016659</v>
      </c>
      <c r="AI38">
        <f>AE38/1.40071410359145</f>
        <v>6.6635675160749289E-3</v>
      </c>
      <c r="AK38">
        <v>0.04</v>
      </c>
      <c r="AL38">
        <v>0.125</v>
      </c>
      <c r="AM38">
        <v>2.6456E-4</v>
      </c>
      <c r="AN38">
        <v>1.0335228E-2</v>
      </c>
      <c r="AO38">
        <v>-3.35228E-3</v>
      </c>
      <c r="AP38">
        <v>-0.100255</v>
      </c>
      <c r="AQ38">
        <f>AM38/0.000288307</f>
        <v>0.91763293988699546</v>
      </c>
      <c r="AR38">
        <f>AN38/1.40071410359145</f>
        <v>7.3785421118416203E-3</v>
      </c>
    </row>
    <row r="39" spans="1:44" ht="15" x14ac:dyDescent="0.35">
      <c r="A39" s="2">
        <v>0.08</v>
      </c>
      <c r="B39">
        <v>0.25</v>
      </c>
      <c r="C39">
        <v>2.6078400000000002E-4</v>
      </c>
      <c r="D39">
        <v>2.7143400000000002E-2</v>
      </c>
      <c r="E39">
        <v>-2.7143400000000002E-2</v>
      </c>
      <c r="F39">
        <v>-0.10333299999999999</v>
      </c>
      <c r="G39">
        <f t="shared" ref="G39:G41" si="19">C39/0.000288307</f>
        <v>0.90453578997388207</v>
      </c>
      <c r="H39">
        <f t="shared" ref="H39:H63" si="20">D39/1.40071410359145</f>
        <v>1.9378258511429245E-2</v>
      </c>
      <c r="J39">
        <v>0.08</v>
      </c>
      <c r="K39">
        <v>0.25</v>
      </c>
      <c r="L39">
        <v>1.69548E-4</v>
      </c>
      <c r="M39">
        <v>5.1367500000000003E-2</v>
      </c>
      <c r="N39">
        <v>-5.1367500000000003E-2</v>
      </c>
      <c r="O39">
        <v>-0.106699</v>
      </c>
      <c r="P39">
        <f t="shared" ref="P39:P65" si="21">L39/0.000185343</f>
        <v>0.9147796248037422</v>
      </c>
      <c r="Q39">
        <f t="shared" ref="Q39:Q63" si="22">M39/1.40071410359145</f>
        <v>3.6672365808477998E-2</v>
      </c>
      <c r="S39">
        <v>0.08</v>
      </c>
      <c r="T39">
        <v>0.25</v>
      </c>
      <c r="U39">
        <v>2.4306537E-4</v>
      </c>
      <c r="V39">
        <v>4.4643099999999998E-2</v>
      </c>
      <c r="W39">
        <v>-4.4643099999999998E-2</v>
      </c>
      <c r="X39">
        <v>-0.10578</v>
      </c>
      <c r="Y39">
        <f t="shared" ref="Y39:Y65" si="23">U39/0.000288307</f>
        <v>0.84307828113781491</v>
      </c>
      <c r="Z39">
        <f t="shared" ref="Z39:Z63" si="24">V39/1.40071410359145</f>
        <v>3.1871671660572615E-2</v>
      </c>
      <c r="AB39">
        <v>0.08</v>
      </c>
      <c r="AC39">
        <v>0.25</v>
      </c>
      <c r="AD39">
        <v>2.4600000000000002E-4</v>
      </c>
      <c r="AE39">
        <v>2.43155E-2</v>
      </c>
      <c r="AF39">
        <v>-2.43155E-2</v>
      </c>
      <c r="AG39">
        <v>-0.10244</v>
      </c>
      <c r="AH39">
        <f t="shared" ref="AH39:AH43" si="25">AD40/0.000288307</f>
        <v>0.77531831693299158</v>
      </c>
      <c r="AI39">
        <f t="shared" ref="AI39:AI63" si="26">AE39/1.40071410359145</f>
        <v>1.7359359727766518E-2</v>
      </c>
      <c r="AK39">
        <v>0.08</v>
      </c>
      <c r="AL39">
        <v>0.25</v>
      </c>
      <c r="AM39">
        <v>2.3840560000000001E-4</v>
      </c>
      <c r="AN39">
        <v>2.3191E-2</v>
      </c>
      <c r="AO39">
        <v>-2.3191E-2</v>
      </c>
      <c r="AP39">
        <v>-0.10237400000000001</v>
      </c>
      <c r="AQ39">
        <f t="shared" ref="AQ39:AQ63" si="27">AM39/0.000288307</f>
        <v>0.82691575299940689</v>
      </c>
      <c r="AR39">
        <f t="shared" ref="AR39:AR63" si="28">AN39/1.40071410359145</f>
        <v>1.6556554931900776E-2</v>
      </c>
    </row>
    <row r="40" spans="1:44" ht="15" x14ac:dyDescent="0.35">
      <c r="A40" s="2">
        <v>0.12</v>
      </c>
      <c r="B40">
        <v>0.375</v>
      </c>
      <c r="C40">
        <v>2.4533886200000003E-4</v>
      </c>
      <c r="D40">
        <v>6.5346799999999997E-2</v>
      </c>
      <c r="E40">
        <v>-6.5346500000000002E-2</v>
      </c>
      <c r="F40">
        <v>-0.11247600000000001</v>
      </c>
      <c r="G40">
        <f t="shared" si="19"/>
        <v>0.85096394468396541</v>
      </c>
      <c r="H40">
        <f t="shared" si="20"/>
        <v>4.6652489492645152E-2</v>
      </c>
      <c r="J40">
        <v>0.12</v>
      </c>
      <c r="K40">
        <v>0.375</v>
      </c>
      <c r="L40">
        <v>1.5186299999999999E-4</v>
      </c>
      <c r="M40">
        <v>9.31202E-2</v>
      </c>
      <c r="N40">
        <v>-9.31202E-2</v>
      </c>
      <c r="O40">
        <v>-0.121139</v>
      </c>
      <c r="P40">
        <f t="shared" si="21"/>
        <v>0.81936193975494076</v>
      </c>
      <c r="Q40">
        <f t="shared" si="22"/>
        <v>6.6480518587796425E-2</v>
      </c>
      <c r="S40">
        <v>0.12</v>
      </c>
      <c r="T40">
        <v>0.375</v>
      </c>
      <c r="U40">
        <v>2.2332E-4</v>
      </c>
      <c r="V40">
        <v>8.5572599999999999E-2</v>
      </c>
      <c r="W40">
        <v>-8.5572599999999999E-2</v>
      </c>
      <c r="X40">
        <v>-0.11877799999999999</v>
      </c>
      <c r="Y40">
        <f t="shared" si="23"/>
        <v>0.77459097420458045</v>
      </c>
      <c r="Z40">
        <f t="shared" si="24"/>
        <v>6.1092124210494266E-2</v>
      </c>
      <c r="AB40">
        <v>0.12</v>
      </c>
      <c r="AC40">
        <v>0.375</v>
      </c>
      <c r="AD40">
        <v>2.2352969800000001E-4</v>
      </c>
      <c r="AE40">
        <v>6.4999399999999999E-2</v>
      </c>
      <c r="AF40">
        <v>-6.4999399999999999E-2</v>
      </c>
      <c r="AG40">
        <v>-0.111329</v>
      </c>
      <c r="AH40">
        <f t="shared" si="25"/>
        <v>0.66654295594626556</v>
      </c>
      <c r="AI40">
        <f t="shared" si="26"/>
        <v>4.6404473142192718E-2</v>
      </c>
      <c r="AK40">
        <v>0.12</v>
      </c>
      <c r="AL40">
        <v>0.375</v>
      </c>
      <c r="AM40">
        <v>2.3017649999999999E-4</v>
      </c>
      <c r="AN40">
        <v>6.4284300000000003E-2</v>
      </c>
      <c r="AO40">
        <v>-6.4284300000000003E-2</v>
      </c>
      <c r="AP40">
        <v>-0.111044</v>
      </c>
      <c r="AQ40">
        <f t="shared" si="27"/>
        <v>0.79837291498298679</v>
      </c>
      <c r="AR40">
        <f t="shared" si="28"/>
        <v>4.5893947833590153E-2</v>
      </c>
    </row>
    <row r="41" spans="1:44" ht="15" x14ac:dyDescent="0.35">
      <c r="A41" s="2">
        <v>0.16</v>
      </c>
      <c r="B41">
        <v>0.5</v>
      </c>
      <c r="C41">
        <v>2.2620100000000001E-4</v>
      </c>
      <c r="D41">
        <v>0.10591100000000001</v>
      </c>
      <c r="E41">
        <v>-0.10591100000000001</v>
      </c>
      <c r="F41">
        <v>-0.12959100000000001</v>
      </c>
      <c r="G41">
        <f t="shared" si="19"/>
        <v>0.78458379435809744</v>
      </c>
      <c r="H41">
        <f t="shared" si="20"/>
        <v>7.561214649616417E-2</v>
      </c>
      <c r="J41">
        <v>0.16</v>
      </c>
      <c r="K41">
        <v>0.5</v>
      </c>
      <c r="L41">
        <v>1.3464400000000001E-4</v>
      </c>
      <c r="M41">
        <v>0.134579</v>
      </c>
      <c r="N41">
        <v>-0.134579</v>
      </c>
      <c r="O41">
        <v>-0.143925</v>
      </c>
      <c r="P41">
        <f t="shared" si="21"/>
        <v>0.72645851205602585</v>
      </c>
      <c r="Q41">
        <f t="shared" si="22"/>
        <v>9.6078849820200721E-2</v>
      </c>
      <c r="S41">
        <v>0.16</v>
      </c>
      <c r="T41">
        <v>0.5</v>
      </c>
      <c r="U41">
        <v>1.8824299999999999E-4</v>
      </c>
      <c r="V41">
        <v>0.12665299999999999</v>
      </c>
      <c r="W41">
        <v>-0.12665299999999999</v>
      </c>
      <c r="X41">
        <v>-0.140011</v>
      </c>
      <c r="Y41">
        <f t="shared" si="23"/>
        <v>0.65292552730249342</v>
      </c>
      <c r="Z41">
        <f t="shared" si="24"/>
        <v>9.0420307524040747E-2</v>
      </c>
      <c r="AB41">
        <v>0.16</v>
      </c>
      <c r="AC41">
        <v>0.5</v>
      </c>
      <c r="AD41">
        <v>1.9216900000000001E-4</v>
      </c>
      <c r="AE41">
        <v>0.106639</v>
      </c>
      <c r="AF41">
        <v>-0.106639</v>
      </c>
      <c r="AG41">
        <v>-0.12848499999999999</v>
      </c>
      <c r="AH41">
        <f t="shared" si="25"/>
        <v>0.5225679570735362</v>
      </c>
      <c r="AI41">
        <f t="shared" si="26"/>
        <v>7.613188139290962E-2</v>
      </c>
      <c r="AK41">
        <v>0.16</v>
      </c>
      <c r="AL41">
        <v>0.5</v>
      </c>
      <c r="AM41">
        <v>1.8590999999999999E-4</v>
      </c>
      <c r="AN41">
        <v>0.106728</v>
      </c>
      <c r="AO41">
        <v>-0.106728</v>
      </c>
      <c r="AP41">
        <v>-0.12814200000000001</v>
      </c>
      <c r="AQ41">
        <f t="shared" si="27"/>
        <v>0.6448334587783161</v>
      </c>
      <c r="AR41">
        <f t="shared" si="28"/>
        <v>7.6195420411879877E-2</v>
      </c>
    </row>
    <row r="42" spans="1:44" ht="15" x14ac:dyDescent="0.35">
      <c r="A42" s="2">
        <v>0.2</v>
      </c>
      <c r="B42">
        <v>0.625</v>
      </c>
      <c r="C42">
        <v>2.0403399999999999E-4</v>
      </c>
      <c r="D42">
        <v>0.145625</v>
      </c>
      <c r="E42">
        <v>-0.145625</v>
      </c>
      <c r="F42">
        <v>-0.154779</v>
      </c>
      <c r="G42">
        <f t="shared" ref="G42:G65" si="29">C42/0.000288307</f>
        <v>0.70769700354136378</v>
      </c>
      <c r="H42">
        <f t="shared" si="20"/>
        <v>0.1039648273881269</v>
      </c>
      <c r="J42">
        <v>0.2</v>
      </c>
      <c r="K42">
        <v>0.625</v>
      </c>
      <c r="L42">
        <v>1.2358599999999999E-4</v>
      </c>
      <c r="M42">
        <v>0.173348</v>
      </c>
      <c r="N42">
        <v>-0.173348</v>
      </c>
      <c r="O42">
        <v>-0.174786</v>
      </c>
      <c r="P42">
        <f t="shared" si="21"/>
        <v>0.66679615631558775</v>
      </c>
      <c r="Q42">
        <f t="shared" si="22"/>
        <v>0.1237568748365804</v>
      </c>
      <c r="S42">
        <v>0.2</v>
      </c>
      <c r="T42">
        <v>0.625</v>
      </c>
      <c r="U42">
        <v>1.6335899999999999E-4</v>
      </c>
      <c r="V42">
        <v>0.165629</v>
      </c>
      <c r="W42">
        <v>-0.165629</v>
      </c>
      <c r="X42">
        <v>-0.169293</v>
      </c>
      <c r="Y42">
        <f t="shared" si="23"/>
        <v>0.56661475441109643</v>
      </c>
      <c r="Z42">
        <f t="shared" si="24"/>
        <v>0.11824611430364339</v>
      </c>
      <c r="AB42">
        <v>0.2</v>
      </c>
      <c r="AC42">
        <v>0.625</v>
      </c>
      <c r="AD42">
        <v>1.5066E-4</v>
      </c>
      <c r="AE42">
        <v>0.147534</v>
      </c>
      <c r="AF42">
        <v>-0.147534</v>
      </c>
      <c r="AG42">
        <v>-0.15393000000000001</v>
      </c>
      <c r="AH42">
        <f t="shared" si="25"/>
        <v>0.44363820510774971</v>
      </c>
      <c r="AI42">
        <f t="shared" si="26"/>
        <v>0.10532770364896077</v>
      </c>
      <c r="AK42">
        <v>0.2</v>
      </c>
      <c r="AL42">
        <v>0.625</v>
      </c>
      <c r="AM42">
        <v>1.3433E-4</v>
      </c>
      <c r="AN42">
        <v>0.148283</v>
      </c>
      <c r="AO42">
        <v>-0.148283</v>
      </c>
      <c r="AP42">
        <v>-0.15367800000000001</v>
      </c>
      <c r="AQ42">
        <f t="shared" si="27"/>
        <v>0.46592694592916573</v>
      </c>
      <c r="AR42">
        <f t="shared" si="28"/>
        <v>0.10586243089849696</v>
      </c>
    </row>
    <row r="43" spans="1:44" ht="15" x14ac:dyDescent="0.35">
      <c r="A43" s="2">
        <v>0.24000000000000002</v>
      </c>
      <c r="B43">
        <v>0.75</v>
      </c>
      <c r="C43">
        <v>1.88111E-4</v>
      </c>
      <c r="D43">
        <v>0.181754</v>
      </c>
      <c r="E43">
        <v>-0.181754</v>
      </c>
      <c r="F43">
        <v>-0.18759300000000001</v>
      </c>
      <c r="G43">
        <f t="shared" si="29"/>
        <v>0.65246768201951388</v>
      </c>
      <c r="H43">
        <f t="shared" si="20"/>
        <v>0.12975809948224284</v>
      </c>
      <c r="J43">
        <v>0.24000000000000002</v>
      </c>
      <c r="K43">
        <v>0.75</v>
      </c>
      <c r="L43">
        <v>1.16605E-4</v>
      </c>
      <c r="M43">
        <v>0.206146</v>
      </c>
      <c r="N43">
        <v>-0.206146</v>
      </c>
      <c r="O43">
        <v>-0.21285499999999999</v>
      </c>
      <c r="P43">
        <f t="shared" si="21"/>
        <v>0.6291308546856369</v>
      </c>
      <c r="Q43">
        <f t="shared" si="22"/>
        <v>0.14717207420946132</v>
      </c>
      <c r="S43">
        <v>0.24000000000000002</v>
      </c>
      <c r="T43">
        <v>0.75</v>
      </c>
      <c r="U43">
        <v>1.48152E-4</v>
      </c>
      <c r="V43">
        <v>0.19947300000000001</v>
      </c>
      <c r="W43">
        <v>-0.19947300000000001</v>
      </c>
      <c r="X43">
        <v>-0.20591200000000001</v>
      </c>
      <c r="Y43">
        <f t="shared" si="23"/>
        <v>0.5138688966969237</v>
      </c>
      <c r="Z43">
        <f t="shared" si="24"/>
        <v>0.1424080756298152</v>
      </c>
      <c r="AB43">
        <v>0.24000000000000002</v>
      </c>
      <c r="AC43">
        <v>0.75</v>
      </c>
      <c r="AD43">
        <v>1.27904E-4</v>
      </c>
      <c r="AE43">
        <v>0.18462000000000001</v>
      </c>
      <c r="AF43">
        <v>-0.18462000000000001</v>
      </c>
      <c r="AG43">
        <v>-0.18723400000000001</v>
      </c>
      <c r="AH43">
        <f t="shared" si="25"/>
        <v>0.39950816317328397</v>
      </c>
      <c r="AI43">
        <f t="shared" si="26"/>
        <v>0.13180419867739734</v>
      </c>
      <c r="AK43">
        <v>0.24000000000000002</v>
      </c>
      <c r="AL43">
        <v>0.75</v>
      </c>
      <c r="AM43">
        <v>1.07371E-4</v>
      </c>
      <c r="AN43">
        <v>0.185753</v>
      </c>
      <c r="AO43">
        <v>-0.185753</v>
      </c>
      <c r="AP43">
        <v>-0.18717700000000001</v>
      </c>
      <c r="AQ43">
        <f t="shared" si="27"/>
        <v>0.37241898393032424</v>
      </c>
      <c r="AR43">
        <f t="shared" si="28"/>
        <v>0.1326130718065355</v>
      </c>
    </row>
    <row r="44" spans="1:44" ht="15" x14ac:dyDescent="0.35">
      <c r="A44" s="2">
        <v>0.28000000000000003</v>
      </c>
      <c r="B44">
        <v>0.87500000000000011</v>
      </c>
      <c r="C44">
        <v>1.8023900000000001E-4</v>
      </c>
      <c r="D44">
        <v>0.21159600000000001</v>
      </c>
      <c r="E44">
        <v>-0.21159600000000001</v>
      </c>
      <c r="F44">
        <v>-0.227047</v>
      </c>
      <c r="G44">
        <f t="shared" si="29"/>
        <v>0.62516345423454855</v>
      </c>
      <c r="H44">
        <f t="shared" si="20"/>
        <v>0.1510629467194376</v>
      </c>
      <c r="J44">
        <v>0.28000000000000003</v>
      </c>
      <c r="K44">
        <v>0.87500000000000011</v>
      </c>
      <c r="L44">
        <v>1.12848E-4</v>
      </c>
      <c r="M44">
        <v>0.23064200000000001</v>
      </c>
      <c r="N44">
        <v>-0.23064200000000001</v>
      </c>
      <c r="O44">
        <v>-0.25667899999999999</v>
      </c>
      <c r="P44">
        <f t="shared" si="21"/>
        <v>0.60886032922743238</v>
      </c>
      <c r="Q44">
        <f t="shared" si="22"/>
        <v>0.16466029677907204</v>
      </c>
      <c r="S44">
        <v>0.28000000000000003</v>
      </c>
      <c r="T44">
        <v>0.87500000000000011</v>
      </c>
      <c r="U44">
        <v>1.3980500000000001E-4</v>
      </c>
      <c r="V44">
        <v>0.22553899999999999</v>
      </c>
      <c r="W44">
        <v>-0.22553899999999999</v>
      </c>
      <c r="X44">
        <v>-0.24855099999999999</v>
      </c>
      <c r="Y44">
        <f t="shared" si="23"/>
        <v>0.4849171195982061</v>
      </c>
      <c r="Z44">
        <f t="shared" si="24"/>
        <v>0.16101715505092359</v>
      </c>
      <c r="AB44">
        <v>0.28000000000000003</v>
      </c>
      <c r="AC44">
        <v>0.87500000000000011</v>
      </c>
      <c r="AD44">
        <v>1.1518099999999999E-4</v>
      </c>
      <c r="AE44">
        <v>0.21459400000000001</v>
      </c>
      <c r="AF44">
        <v>-0.21459400000000001</v>
      </c>
      <c r="AG44">
        <v>-0.22728999999999999</v>
      </c>
      <c r="AH44">
        <f t="shared" ref="AH44:AH65" si="30">AD44/0.000288307</f>
        <v>0.39950816317328397</v>
      </c>
      <c r="AI44">
        <f t="shared" si="26"/>
        <v>0.15320328356070526</v>
      </c>
      <c r="AK44">
        <v>0.28000000000000003</v>
      </c>
      <c r="AL44">
        <v>0.87500000000000011</v>
      </c>
      <c r="AM44" s="1">
        <v>9.3562700000000005E-5</v>
      </c>
      <c r="AN44">
        <v>0.215784</v>
      </c>
      <c r="AO44">
        <v>-0.215784</v>
      </c>
      <c r="AP44">
        <v>-0.22747200000000001</v>
      </c>
      <c r="AQ44">
        <f t="shared" si="27"/>
        <v>0.32452455195329977</v>
      </c>
      <c r="AR44">
        <f t="shared" si="28"/>
        <v>0.15405285021884685</v>
      </c>
    </row>
    <row r="45" spans="1:44" ht="15" x14ac:dyDescent="0.35">
      <c r="A45" s="2">
        <v>0.32</v>
      </c>
      <c r="B45">
        <v>1</v>
      </c>
      <c r="C45">
        <v>1.7542299999999999E-4</v>
      </c>
      <c r="D45">
        <v>0.233455</v>
      </c>
      <c r="E45">
        <v>-0.233455</v>
      </c>
      <c r="F45">
        <v>-0.27168399999999998</v>
      </c>
      <c r="G45">
        <f t="shared" si="29"/>
        <v>0.60845903845553517</v>
      </c>
      <c r="H45">
        <f t="shared" si="20"/>
        <v>0.16666855813146894</v>
      </c>
      <c r="J45">
        <v>0.32</v>
      </c>
      <c r="K45">
        <v>1</v>
      </c>
      <c r="L45">
        <v>1.11554E-4</v>
      </c>
      <c r="M45">
        <v>0.246221</v>
      </c>
      <c r="N45">
        <v>-0.246221</v>
      </c>
      <c r="O45">
        <v>-0.304506</v>
      </c>
      <c r="P45">
        <f t="shared" si="21"/>
        <v>0.60187867898976488</v>
      </c>
      <c r="Q45">
        <f t="shared" si="22"/>
        <v>0.17578248078511238</v>
      </c>
      <c r="S45">
        <v>0.32</v>
      </c>
      <c r="T45">
        <v>1</v>
      </c>
      <c r="U45">
        <v>1.3611499999999999E-4</v>
      </c>
      <c r="V45">
        <v>0.242783</v>
      </c>
      <c r="W45">
        <v>-0.242783</v>
      </c>
      <c r="X45">
        <v>-0.29551899999999998</v>
      </c>
      <c r="Y45">
        <f t="shared" si="23"/>
        <v>0.47211826282400354</v>
      </c>
      <c r="Z45">
        <f t="shared" si="24"/>
        <v>0.17332801845680076</v>
      </c>
      <c r="AB45" s="5">
        <v>0.32</v>
      </c>
      <c r="AC45" s="5">
        <v>1</v>
      </c>
      <c r="AD45" s="5">
        <v>1.09752E-4</v>
      </c>
      <c r="AE45" s="5">
        <v>0.247531</v>
      </c>
      <c r="AF45" s="5">
        <v>-0.247531</v>
      </c>
      <c r="AG45" s="5">
        <v>-0.320911</v>
      </c>
      <c r="AH45">
        <f t="shared" si="30"/>
        <v>0.38067754164831236</v>
      </c>
      <c r="AI45">
        <f t="shared" si="26"/>
        <v>0.17671771803062961</v>
      </c>
      <c r="AK45">
        <v>0.32</v>
      </c>
      <c r="AL45">
        <v>1</v>
      </c>
      <c r="AM45" s="1">
        <v>8.4642599999999995E-5</v>
      </c>
      <c r="AN45">
        <v>0.24812999999999999</v>
      </c>
      <c r="AO45">
        <v>-0.24812999999999999</v>
      </c>
      <c r="AP45">
        <v>-0.32146799999999998</v>
      </c>
      <c r="AQ45">
        <f t="shared" si="27"/>
        <v>0.29358496325097894</v>
      </c>
      <c r="AR45">
        <f t="shared" si="28"/>
        <v>0.17714535704594625</v>
      </c>
    </row>
    <row r="46" spans="1:44" ht="15" x14ac:dyDescent="0.35">
      <c r="A46" s="2">
        <v>0.36</v>
      </c>
      <c r="B46">
        <v>1.125</v>
      </c>
      <c r="C46">
        <v>1.7371699999999999E-4</v>
      </c>
      <c r="D46">
        <v>0.24706500000000001</v>
      </c>
      <c r="E46">
        <v>-0.24706500000000001</v>
      </c>
      <c r="F46">
        <v>-0.31986500000000001</v>
      </c>
      <c r="G46">
        <f t="shared" si="29"/>
        <v>0.60254173502551089</v>
      </c>
      <c r="H46">
        <f t="shared" si="20"/>
        <v>0.1763850305829876</v>
      </c>
      <c r="J46">
        <v>0.36</v>
      </c>
      <c r="K46">
        <v>1.125</v>
      </c>
      <c r="L46">
        <v>1.11708E-4</v>
      </c>
      <c r="M46">
        <v>0.25337199999999999</v>
      </c>
      <c r="N46">
        <v>-0.25337199999999999</v>
      </c>
      <c r="O46">
        <v>-0.35459499999999999</v>
      </c>
      <c r="P46">
        <f t="shared" si="21"/>
        <v>0.60270957090367583</v>
      </c>
      <c r="Q46">
        <f t="shared" si="22"/>
        <v>0.1808877338711381</v>
      </c>
      <c r="S46">
        <v>0.36</v>
      </c>
      <c r="T46">
        <v>1.125</v>
      </c>
      <c r="U46">
        <v>1.3316200000000001E-4</v>
      </c>
      <c r="V46">
        <v>0.251668</v>
      </c>
      <c r="W46">
        <v>-0.251668</v>
      </c>
      <c r="X46">
        <v>-0.34509400000000001</v>
      </c>
      <c r="Y46">
        <f t="shared" si="23"/>
        <v>0.46187570887977053</v>
      </c>
      <c r="Z46">
        <f t="shared" si="24"/>
        <v>0.17967121153040425</v>
      </c>
      <c r="AB46">
        <v>0.36</v>
      </c>
      <c r="AC46">
        <v>1.125</v>
      </c>
      <c r="AD46">
        <v>1.08455E-4</v>
      </c>
      <c r="AE46">
        <v>0.25105300000000003</v>
      </c>
      <c r="AF46">
        <v>-0.25105300000000003</v>
      </c>
      <c r="AG46">
        <v>-0.37089899999999998</v>
      </c>
      <c r="AH46">
        <f t="shared" si="30"/>
        <v>0.37617886489055069</v>
      </c>
      <c r="AI46">
        <f t="shared" si="26"/>
        <v>0.17923214977010418</v>
      </c>
      <c r="AK46">
        <v>0.36</v>
      </c>
      <c r="AL46">
        <v>1.125</v>
      </c>
      <c r="AM46" s="1">
        <v>8.5963299999999997E-5</v>
      </c>
      <c r="AN46">
        <v>0.25142100000000001</v>
      </c>
      <c r="AO46">
        <v>-0.25142100000000001</v>
      </c>
      <c r="AP46">
        <v>-0.37155199999999999</v>
      </c>
      <c r="AQ46">
        <f t="shared" si="27"/>
        <v>0.29816584404818475</v>
      </c>
      <c r="AR46">
        <f t="shared" si="28"/>
        <v>0.17949487290472277</v>
      </c>
    </row>
    <row r="47" spans="1:44" ht="15" x14ac:dyDescent="0.35">
      <c r="A47" s="2">
        <v>0.39999999999999997</v>
      </c>
      <c r="B47">
        <v>1.2499999999999998</v>
      </c>
      <c r="C47">
        <v>1.74062E-4</v>
      </c>
      <c r="D47">
        <v>0.252967</v>
      </c>
      <c r="E47">
        <v>-0.252967</v>
      </c>
      <c r="F47">
        <v>-0.369979</v>
      </c>
      <c r="G47">
        <f t="shared" si="29"/>
        <v>0.60373837610602588</v>
      </c>
      <c r="H47">
        <f t="shared" si="20"/>
        <v>0.18059859563874536</v>
      </c>
      <c r="J47">
        <v>0.39999999999999997</v>
      </c>
      <c r="K47">
        <v>1.2499999999999998</v>
      </c>
      <c r="L47">
        <v>1.12637E-4</v>
      </c>
      <c r="M47">
        <v>0.25287300000000001</v>
      </c>
      <c r="N47">
        <v>-0.25287300000000001</v>
      </c>
      <c r="O47">
        <v>-0.40533400000000003</v>
      </c>
      <c r="P47">
        <f t="shared" si="21"/>
        <v>0.60772189939733356</v>
      </c>
      <c r="Q47">
        <f t="shared" si="22"/>
        <v>0.18053148701196781</v>
      </c>
      <c r="S47">
        <v>0.39999999999999997</v>
      </c>
      <c r="T47">
        <v>1.2499999999999998</v>
      </c>
      <c r="U47">
        <v>1.37188E-4</v>
      </c>
      <c r="V47">
        <v>0.25289600000000001</v>
      </c>
      <c r="W47">
        <v>-0.25289600000000001</v>
      </c>
      <c r="X47">
        <v>-0.39566899999999999</v>
      </c>
      <c r="Y47">
        <f t="shared" si="23"/>
        <v>0.47583999001064836</v>
      </c>
      <c r="Z47">
        <f t="shared" si="24"/>
        <v>0.18054790720788147</v>
      </c>
      <c r="AB47">
        <v>0.39999999999999997</v>
      </c>
      <c r="AC47">
        <v>1.2499999999999998</v>
      </c>
      <c r="AD47">
        <v>1.10917E-4</v>
      </c>
      <c r="AE47">
        <v>0.24720300000000001</v>
      </c>
      <c r="AF47">
        <v>-0.24720300000000001</v>
      </c>
      <c r="AG47">
        <v>-0.42082700000000001</v>
      </c>
      <c r="AH47">
        <f t="shared" si="30"/>
        <v>0.38471837312309443</v>
      </c>
      <c r="AI47">
        <f t="shared" si="26"/>
        <v>0.17648355175846958</v>
      </c>
      <c r="AK47">
        <v>0.39999999999999997</v>
      </c>
      <c r="AL47">
        <v>1.2499999999999998</v>
      </c>
      <c r="AM47" s="1">
        <v>8.82763E-5</v>
      </c>
      <c r="AN47">
        <v>0.24765000000000001</v>
      </c>
      <c r="AO47">
        <v>-0.24765000000000001</v>
      </c>
      <c r="AP47">
        <v>-0.42155700000000002</v>
      </c>
      <c r="AQ47">
        <f t="shared" si="27"/>
        <v>0.30618854207494095</v>
      </c>
      <c r="AR47">
        <f t="shared" si="28"/>
        <v>0.17680267469644378</v>
      </c>
    </row>
    <row r="48" spans="1:44" ht="15" x14ac:dyDescent="0.35">
      <c r="A48" s="2">
        <v>0.43999999999999995</v>
      </c>
      <c r="B48">
        <v>1.3749999999999998</v>
      </c>
      <c r="C48">
        <v>1.75718E-4</v>
      </c>
      <c r="D48">
        <v>0.25186799999999998</v>
      </c>
      <c r="E48">
        <v>-0.25186799999999998</v>
      </c>
      <c r="F48">
        <v>-0.42056500000000002</v>
      </c>
      <c r="G48">
        <f t="shared" si="29"/>
        <v>0.60948225329249717</v>
      </c>
      <c r="H48">
        <f t="shared" si="20"/>
        <v>0.17981399584269694</v>
      </c>
      <c r="J48">
        <v>0.43999999999999995</v>
      </c>
      <c r="K48">
        <v>1.3749999999999998</v>
      </c>
      <c r="L48">
        <v>1.1425399999999999E-4</v>
      </c>
      <c r="M48">
        <v>0.24627499999999999</v>
      </c>
      <c r="N48">
        <v>-0.24627499999999999</v>
      </c>
      <c r="O48">
        <v>-0.45532299999999998</v>
      </c>
      <c r="P48">
        <f t="shared" si="21"/>
        <v>0.61644626449339868</v>
      </c>
      <c r="Q48">
        <f t="shared" si="22"/>
        <v>0.17582103254943141</v>
      </c>
      <c r="S48">
        <v>0.43999999999999995</v>
      </c>
      <c r="T48">
        <v>1.3749999999999998</v>
      </c>
      <c r="U48">
        <v>1.3982799999999999E-4</v>
      </c>
      <c r="V48">
        <v>0.24755099999999999</v>
      </c>
      <c r="W48">
        <v>-0.24755099999999999</v>
      </c>
      <c r="X48">
        <v>-0.445801</v>
      </c>
      <c r="Y48">
        <f t="shared" si="23"/>
        <v>0.48499689567024035</v>
      </c>
      <c r="Z48">
        <f t="shared" si="24"/>
        <v>0.17673199646185889</v>
      </c>
      <c r="AB48">
        <v>0.43999999999999995</v>
      </c>
      <c r="AC48">
        <v>1.3749999999999998</v>
      </c>
      <c r="AD48">
        <v>1.1381E-4</v>
      </c>
      <c r="AE48">
        <v>0.239205</v>
      </c>
      <c r="AF48">
        <v>-0.239205</v>
      </c>
      <c r="AG48">
        <v>-0.46948899999999999</v>
      </c>
      <c r="AH48">
        <f t="shared" si="30"/>
        <v>0.39475281557506403</v>
      </c>
      <c r="AI48">
        <f t="shared" si="26"/>
        <v>0.17077360710988423</v>
      </c>
      <c r="AK48">
        <v>0.43999999999999995</v>
      </c>
      <c r="AL48">
        <v>1.3749999999999998</v>
      </c>
      <c r="AM48" s="1">
        <v>9.0558999999999998E-5</v>
      </c>
      <c r="AN48">
        <v>0.24044199999999999</v>
      </c>
      <c r="AO48">
        <v>-0.24044199999999999</v>
      </c>
      <c r="AP48">
        <v>-0.47037099999999998</v>
      </c>
      <c r="AQ48">
        <f t="shared" si="27"/>
        <v>0.31410614379810409</v>
      </c>
      <c r="AR48">
        <f t="shared" si="28"/>
        <v>0.17165672808141463</v>
      </c>
    </row>
    <row r="49" spans="1:44" ht="15" x14ac:dyDescent="0.35">
      <c r="A49" s="2">
        <v>0.47999999999999993</v>
      </c>
      <c r="B49">
        <v>1.4999999999999998</v>
      </c>
      <c r="C49">
        <v>1.7808400000000001E-4</v>
      </c>
      <c r="D49">
        <v>0.24487500000000001</v>
      </c>
      <c r="E49">
        <v>-0.24487500000000001</v>
      </c>
      <c r="F49">
        <v>-0.47031600000000001</v>
      </c>
      <c r="G49">
        <f t="shared" si="29"/>
        <v>0.61768878313741948</v>
      </c>
      <c r="H49">
        <f t="shared" si="20"/>
        <v>0.17482154236338249</v>
      </c>
      <c r="J49">
        <v>0.47999999999999993</v>
      </c>
      <c r="K49">
        <v>1.4999999999999998</v>
      </c>
      <c r="L49">
        <v>1.15893E-4</v>
      </c>
      <c r="M49">
        <v>0.23766100000000001</v>
      </c>
      <c r="N49">
        <v>-0.23766100000000001</v>
      </c>
      <c r="O49">
        <v>-0.50370199999999998</v>
      </c>
      <c r="P49">
        <f t="shared" si="21"/>
        <v>0.62528932843430829</v>
      </c>
      <c r="Q49">
        <f t="shared" si="22"/>
        <v>0.16967131221898457</v>
      </c>
      <c r="S49">
        <v>0.47999999999999993</v>
      </c>
      <c r="T49">
        <v>1.4999999999999998</v>
      </c>
      <c r="U49">
        <v>1.4269099999999999E-4</v>
      </c>
      <c r="V49">
        <v>0.239014</v>
      </c>
      <c r="W49">
        <v>-0.239014</v>
      </c>
      <c r="X49">
        <v>-0.49446499999999999</v>
      </c>
      <c r="Y49">
        <f t="shared" si="23"/>
        <v>0.49492728237607825</v>
      </c>
      <c r="Z49">
        <f t="shared" si="24"/>
        <v>0.17063724809164471</v>
      </c>
      <c r="AB49">
        <v>0.47999999999999993</v>
      </c>
      <c r="AC49">
        <v>1.4999999999999998</v>
      </c>
      <c r="AD49">
        <v>1.15832E-4</v>
      </c>
      <c r="AE49">
        <v>0.232212</v>
      </c>
      <c r="AF49">
        <v>-0.232212</v>
      </c>
      <c r="AG49">
        <v>-0.51659200000000005</v>
      </c>
      <c r="AH49">
        <f t="shared" si="30"/>
        <v>0.40176617286434252</v>
      </c>
      <c r="AI49">
        <f t="shared" si="26"/>
        <v>0.16578115363056978</v>
      </c>
      <c r="AK49">
        <v>0.47999999999999993</v>
      </c>
      <c r="AL49">
        <v>1.4999999999999998</v>
      </c>
      <c r="AM49" s="1">
        <v>9.1434200000000006E-5</v>
      </c>
      <c r="AN49">
        <v>0.23558000000000001</v>
      </c>
      <c r="AO49">
        <v>-0.23558000000000001</v>
      </c>
      <c r="AP49">
        <v>-0.51791500000000001</v>
      </c>
      <c r="AQ49">
        <f t="shared" si="27"/>
        <v>0.31714179676525373</v>
      </c>
      <c r="AR49">
        <f t="shared" si="28"/>
        <v>0.16818564144957895</v>
      </c>
    </row>
    <row r="50" spans="1:44" ht="15" x14ac:dyDescent="0.35">
      <c r="A50" s="2">
        <v>0.51999999999999991</v>
      </c>
      <c r="B50">
        <v>1.6249999999999998</v>
      </c>
      <c r="C50">
        <v>1.8092999999999999E-4</v>
      </c>
      <c r="D50">
        <v>0.235038</v>
      </c>
      <c r="E50">
        <v>-0.235038</v>
      </c>
      <c r="F50">
        <v>-0.51831099999999997</v>
      </c>
      <c r="G50">
        <f t="shared" si="29"/>
        <v>0.62756020492044928</v>
      </c>
      <c r="H50">
        <f t="shared" si="20"/>
        <v>0.16779869596326571</v>
      </c>
      <c r="J50">
        <v>0.51999999999999991</v>
      </c>
      <c r="K50">
        <v>1.6249999999999998</v>
      </c>
      <c r="L50">
        <v>1.1694200000000001E-4</v>
      </c>
      <c r="M50">
        <v>0.23083799999999999</v>
      </c>
      <c r="N50">
        <v>-0.23083799999999999</v>
      </c>
      <c r="O50">
        <v>-0.55050699999999997</v>
      </c>
      <c r="P50">
        <f t="shared" si="21"/>
        <v>0.63094910517257197</v>
      </c>
      <c r="Q50">
        <f t="shared" si="22"/>
        <v>0.16480022540511885</v>
      </c>
      <c r="S50">
        <v>0.51999999999999991</v>
      </c>
      <c r="T50">
        <v>1.6249999999999998</v>
      </c>
      <c r="U50">
        <v>1.44401E-4</v>
      </c>
      <c r="V50">
        <v>0.23147599999999999</v>
      </c>
      <c r="W50">
        <v>-0.23147599999999999</v>
      </c>
      <c r="X50">
        <v>-0.54147500000000004</v>
      </c>
      <c r="Y50">
        <f t="shared" si="23"/>
        <v>0.50085845990558675</v>
      </c>
      <c r="Z50">
        <f t="shared" si="24"/>
        <v>0.1652557073613326</v>
      </c>
      <c r="AB50">
        <v>0.51999999999999991</v>
      </c>
      <c r="AC50">
        <v>1.6249999999999998</v>
      </c>
      <c r="AD50">
        <v>1.17445E-4</v>
      </c>
      <c r="AE50">
        <v>0.22739200000000001</v>
      </c>
      <c r="AF50">
        <v>-0.22739200000000001</v>
      </c>
      <c r="AG50">
        <v>-0.56251200000000001</v>
      </c>
      <c r="AH50">
        <f t="shared" si="30"/>
        <v>0.40736090348135839</v>
      </c>
      <c r="AI50">
        <f t="shared" si="26"/>
        <v>0.16234005170431554</v>
      </c>
      <c r="AK50">
        <v>0.51999999999999991</v>
      </c>
      <c r="AL50">
        <v>1.6249999999999998</v>
      </c>
      <c r="AM50" s="1">
        <v>9.1228200000000002E-5</v>
      </c>
      <c r="AN50">
        <v>0.23364599999999999</v>
      </c>
      <c r="AO50">
        <v>-0.23364599999999999</v>
      </c>
      <c r="AP50">
        <v>-0.56478899999999999</v>
      </c>
      <c r="AQ50">
        <f t="shared" si="27"/>
        <v>0.31642728064181586</v>
      </c>
      <c r="AR50">
        <f t="shared" si="28"/>
        <v>0.16680491714970846</v>
      </c>
    </row>
    <row r="51" spans="1:44" ht="15" x14ac:dyDescent="0.35">
      <c r="A51" s="2">
        <v>0.55999999999999994</v>
      </c>
      <c r="B51">
        <v>1.7499999999999998</v>
      </c>
      <c r="C51">
        <v>1.8309500000000001E-4</v>
      </c>
      <c r="D51">
        <v>0.226603</v>
      </c>
      <c r="E51">
        <v>-0.226603</v>
      </c>
      <c r="F51">
        <v>-0.56442499999999995</v>
      </c>
      <c r="G51">
        <f t="shared" si="29"/>
        <v>0.63506956126628911</v>
      </c>
      <c r="H51">
        <f t="shared" si="20"/>
        <v>0.16177676759232082</v>
      </c>
      <c r="J51">
        <v>0.55999999999999994</v>
      </c>
      <c r="K51">
        <v>1.7499999999999998</v>
      </c>
      <c r="L51">
        <v>1.17682E-4</v>
      </c>
      <c r="M51">
        <v>0.226549</v>
      </c>
      <c r="N51">
        <v>-0.226549</v>
      </c>
      <c r="O51">
        <v>-0.59619900000000003</v>
      </c>
      <c r="P51">
        <f t="shared" si="21"/>
        <v>0.63494170268097527</v>
      </c>
      <c r="Q51">
        <f t="shared" si="22"/>
        <v>0.16173821582800177</v>
      </c>
      <c r="S51">
        <v>0.55999999999999994</v>
      </c>
      <c r="T51">
        <v>1.7499999999999998</v>
      </c>
      <c r="U51">
        <v>1.46508E-4</v>
      </c>
      <c r="V51">
        <v>0.226412</v>
      </c>
      <c r="W51">
        <v>-0.226412</v>
      </c>
      <c r="X51">
        <v>-0.58721500000000004</v>
      </c>
      <c r="Y51">
        <f t="shared" si="23"/>
        <v>0.50816664180890503</v>
      </c>
      <c r="Z51">
        <f t="shared" si="24"/>
        <v>0.16164040857408127</v>
      </c>
      <c r="AB51">
        <v>0.55999999999999994</v>
      </c>
      <c r="AC51">
        <v>1.7499999999999998</v>
      </c>
      <c r="AD51">
        <v>1.1722600000000001E-4</v>
      </c>
      <c r="AE51">
        <v>0.22522800000000001</v>
      </c>
      <c r="AF51">
        <v>-0.22522800000000001</v>
      </c>
      <c r="AG51">
        <v>-0.60772599999999999</v>
      </c>
      <c r="AH51">
        <f t="shared" si="30"/>
        <v>0.40660129653459681</v>
      </c>
      <c r="AI51">
        <f t="shared" si="26"/>
        <v>0.16079512544530847</v>
      </c>
      <c r="AK51">
        <v>0.55999999999999994</v>
      </c>
      <c r="AL51">
        <v>1.7499999999999998</v>
      </c>
      <c r="AM51" s="1">
        <v>8.9332800000000006E-5</v>
      </c>
      <c r="AN51">
        <v>0.23482</v>
      </c>
      <c r="AO51">
        <v>-0.23482</v>
      </c>
      <c r="AP51">
        <v>-0.61158000000000001</v>
      </c>
      <c r="AQ51">
        <f t="shared" si="27"/>
        <v>0.30985303860121327</v>
      </c>
      <c r="AR51">
        <f t="shared" si="28"/>
        <v>0.16764306106286667</v>
      </c>
    </row>
    <row r="52" spans="1:44" ht="15" x14ac:dyDescent="0.35">
      <c r="A52" s="2">
        <v>0.6</v>
      </c>
      <c r="B52">
        <v>1.875</v>
      </c>
      <c r="C52">
        <v>1.8437799999999999E-4</v>
      </c>
      <c r="D52">
        <v>0.22142800000000001</v>
      </c>
      <c r="E52">
        <v>-0.22142800000000001</v>
      </c>
      <c r="F52">
        <v>-0.60916599999999999</v>
      </c>
      <c r="G52">
        <f t="shared" si="29"/>
        <v>0.63951967867585591</v>
      </c>
      <c r="H52">
        <f t="shared" si="20"/>
        <v>0.15808222351174703</v>
      </c>
      <c r="J52">
        <v>0.6</v>
      </c>
      <c r="K52">
        <v>1.875</v>
      </c>
      <c r="L52">
        <v>1.16847E-4</v>
      </c>
      <c r="M52">
        <v>0.22475000000000001</v>
      </c>
      <c r="N52">
        <v>-0.22475000000000001</v>
      </c>
      <c r="O52">
        <v>-0.64128499999999999</v>
      </c>
      <c r="P52">
        <f t="shared" si="21"/>
        <v>0.63043654197892551</v>
      </c>
      <c r="Q52">
        <f t="shared" si="22"/>
        <v>0.16045387093892888</v>
      </c>
      <c r="S52">
        <v>0.6</v>
      </c>
      <c r="T52">
        <v>1.875</v>
      </c>
      <c r="U52">
        <v>1.4717699999999999E-4</v>
      </c>
      <c r="V52">
        <v>0.22406200000000001</v>
      </c>
      <c r="W52">
        <v>-0.22406200000000001</v>
      </c>
      <c r="X52">
        <v>-0.63221300000000002</v>
      </c>
      <c r="Y52">
        <f t="shared" si="23"/>
        <v>0.5104870849476425</v>
      </c>
      <c r="Z52">
        <f t="shared" si="24"/>
        <v>0.15996269290464199</v>
      </c>
      <c r="AB52">
        <v>0.6</v>
      </c>
      <c r="AC52">
        <v>1.875</v>
      </c>
      <c r="AD52">
        <v>1.17073E-4</v>
      </c>
      <c r="AE52">
        <v>0.22557099999999999</v>
      </c>
      <c r="AF52">
        <v>-0.22557099999999999</v>
      </c>
      <c r="AG52">
        <v>-0.65276699999999999</v>
      </c>
      <c r="AH52">
        <f t="shared" si="30"/>
        <v>0.40607061222932495</v>
      </c>
      <c r="AI52">
        <f t="shared" si="26"/>
        <v>0.16104000054089043</v>
      </c>
      <c r="AK52">
        <v>0.6</v>
      </c>
      <c r="AL52">
        <v>1.875</v>
      </c>
      <c r="AM52" s="1">
        <v>8.6359099999999998E-5</v>
      </c>
      <c r="AN52">
        <v>0.23863999999999999</v>
      </c>
      <c r="AO52">
        <v>-0.23863999999999999</v>
      </c>
      <c r="AP52">
        <v>-0.65889399999999998</v>
      </c>
      <c r="AQ52">
        <f t="shared" si="27"/>
        <v>0.29953868619214929</v>
      </c>
      <c r="AR52">
        <f t="shared" si="28"/>
        <v>0.17037024142765733</v>
      </c>
    </row>
    <row r="53" spans="1:44" ht="15" x14ac:dyDescent="0.35">
      <c r="A53" s="2">
        <v>0.64</v>
      </c>
      <c r="B53">
        <v>2</v>
      </c>
      <c r="C53">
        <v>1.8482899999999999E-4</v>
      </c>
      <c r="D53">
        <v>0.21962300000000001</v>
      </c>
      <c r="E53">
        <v>-0.21962300000000001</v>
      </c>
      <c r="F53">
        <v>-0.65321499999999999</v>
      </c>
      <c r="G53">
        <f t="shared" si="29"/>
        <v>0.64108398339270289</v>
      </c>
      <c r="H53">
        <f t="shared" si="20"/>
        <v>0.15679359509330537</v>
      </c>
      <c r="J53">
        <v>0.64</v>
      </c>
      <c r="K53">
        <v>2</v>
      </c>
      <c r="L53">
        <v>1.1781399999999999E-4</v>
      </c>
      <c r="M53">
        <v>0.22534799999999999</v>
      </c>
      <c r="N53">
        <v>-0.22534799999999999</v>
      </c>
      <c r="O53">
        <v>-0.68625899999999995</v>
      </c>
      <c r="P53">
        <f t="shared" si="21"/>
        <v>0.63565389575004172</v>
      </c>
      <c r="Q53">
        <f t="shared" si="22"/>
        <v>0.16088079603268407</v>
      </c>
      <c r="S53">
        <v>0.64</v>
      </c>
      <c r="T53">
        <v>2</v>
      </c>
      <c r="U53">
        <v>1.47007E-4</v>
      </c>
      <c r="V53">
        <v>0.22429099999999999</v>
      </c>
      <c r="W53">
        <v>-0.22429099999999999</v>
      </c>
      <c r="X53">
        <v>-0.67700400000000005</v>
      </c>
      <c r="Y53">
        <f t="shared" si="23"/>
        <v>0.50989743571956281</v>
      </c>
      <c r="Z53">
        <f t="shared" si="24"/>
        <v>0.16012618094221712</v>
      </c>
      <c r="AB53">
        <v>0.64</v>
      </c>
      <c r="AC53">
        <v>2</v>
      </c>
      <c r="AD53">
        <v>1.1650900000000001E-4</v>
      </c>
      <c r="AE53">
        <v>0.227885</v>
      </c>
      <c r="AF53">
        <v>-0.227885</v>
      </c>
      <c r="AG53">
        <v>-0.69807699999999995</v>
      </c>
      <c r="AH53">
        <f t="shared" si="30"/>
        <v>0.40411436420204849</v>
      </c>
      <c r="AI53">
        <f t="shared" si="26"/>
        <v>0.16269201503411707</v>
      </c>
      <c r="AK53">
        <v>0.64</v>
      </c>
      <c r="AL53">
        <v>2</v>
      </c>
      <c r="AM53" s="1">
        <v>8.50406E-5</v>
      </c>
      <c r="AN53">
        <v>0.24397199999999999</v>
      </c>
      <c r="AO53">
        <v>-0.24397199999999999</v>
      </c>
      <c r="AP53">
        <v>-0.70713199999999998</v>
      </c>
      <c r="AQ53">
        <f t="shared" si="27"/>
        <v>0.29496543614965992</v>
      </c>
      <c r="AR53">
        <f t="shared" si="28"/>
        <v>0.17417687119338091</v>
      </c>
    </row>
    <row r="54" spans="1:44" ht="15" x14ac:dyDescent="0.35">
      <c r="A54" s="2">
        <v>0.68</v>
      </c>
      <c r="B54">
        <v>2.125</v>
      </c>
      <c r="C54">
        <v>1.84418E-4</v>
      </c>
      <c r="D54">
        <v>0.22076499999999999</v>
      </c>
      <c r="E54">
        <v>-0.22076499999999999</v>
      </c>
      <c r="F54">
        <v>-0.69720400000000005</v>
      </c>
      <c r="G54">
        <f t="shared" si="29"/>
        <v>0.63965841967069814</v>
      </c>
      <c r="H54">
        <f t="shared" si="20"/>
        <v>0.15760889351649671</v>
      </c>
      <c r="J54">
        <v>0.68</v>
      </c>
      <c r="K54">
        <v>2.125</v>
      </c>
      <c r="L54">
        <v>1.17117E-4</v>
      </c>
      <c r="M54">
        <v>0.22787299999999999</v>
      </c>
      <c r="N54">
        <v>-0.22787299999999999</v>
      </c>
      <c r="O54">
        <v>-0.731549</v>
      </c>
      <c r="P54">
        <f t="shared" si="21"/>
        <v>0.63189330052928894</v>
      </c>
      <c r="Q54">
        <f t="shared" si="22"/>
        <v>0.16268344797537948</v>
      </c>
      <c r="S54">
        <v>0.68</v>
      </c>
      <c r="T54">
        <v>2.125</v>
      </c>
      <c r="U54">
        <v>1.4610400000000001E-4</v>
      </c>
      <c r="V54">
        <v>0.22669400000000001</v>
      </c>
      <c r="W54">
        <v>-0.22669400000000001</v>
      </c>
      <c r="X54">
        <v>-0.72206700000000001</v>
      </c>
      <c r="Y54">
        <f t="shared" si="23"/>
        <v>0.50676535776099785</v>
      </c>
      <c r="Z54">
        <f t="shared" si="24"/>
        <v>0.16184173445441399</v>
      </c>
      <c r="AB54">
        <v>0.68</v>
      </c>
      <c r="AC54">
        <v>2.125</v>
      </c>
      <c r="AD54">
        <v>1.14468E-4</v>
      </c>
      <c r="AE54">
        <v>0.23211599999999999</v>
      </c>
      <c r="AF54">
        <v>-0.23211599999999999</v>
      </c>
      <c r="AG54">
        <v>-0.74404300000000001</v>
      </c>
      <c r="AH54">
        <f t="shared" si="30"/>
        <v>0.39703510494021999</v>
      </c>
      <c r="AI54">
        <f t="shared" si="26"/>
        <v>0.16571261716066926</v>
      </c>
      <c r="AK54">
        <v>0.68</v>
      </c>
      <c r="AL54">
        <v>2.125</v>
      </c>
      <c r="AM54" s="1">
        <v>8.2775500000000001E-5</v>
      </c>
      <c r="AN54">
        <v>0.25028299999999998</v>
      </c>
      <c r="AO54">
        <v>-0.25028299999999998</v>
      </c>
      <c r="AP54">
        <v>-0.75654699999999997</v>
      </c>
      <c r="AQ54">
        <f t="shared" si="27"/>
        <v>0.28710888046422733</v>
      </c>
      <c r="AR54">
        <f t="shared" si="28"/>
        <v>0.17868243016777724</v>
      </c>
    </row>
    <row r="55" spans="1:44" ht="15" x14ac:dyDescent="0.35">
      <c r="A55" s="2">
        <v>0.72000000000000008</v>
      </c>
      <c r="B55">
        <v>2.25</v>
      </c>
      <c r="C55">
        <v>1.8324300000000001E-4</v>
      </c>
      <c r="D55">
        <v>0.22437699999999999</v>
      </c>
      <c r="E55">
        <v>-0.22437699999999999</v>
      </c>
      <c r="F55">
        <v>-0.741676</v>
      </c>
      <c r="G55">
        <f t="shared" si="29"/>
        <v>0.63558290294720554</v>
      </c>
      <c r="H55">
        <f t="shared" si="20"/>
        <v>0.16018757819650298</v>
      </c>
      <c r="J55">
        <v>0.72000000000000008</v>
      </c>
      <c r="K55">
        <v>2.25</v>
      </c>
      <c r="L55">
        <v>1.16544E-4</v>
      </c>
      <c r="M55">
        <v>0.232043</v>
      </c>
      <c r="N55">
        <v>-0.232043</v>
      </c>
      <c r="O55">
        <v>-0.77751000000000003</v>
      </c>
      <c r="P55">
        <f t="shared" si="21"/>
        <v>0.62880173516129556</v>
      </c>
      <c r="Q55">
        <f t="shared" si="22"/>
        <v>0.16566050088668244</v>
      </c>
      <c r="S55">
        <v>0.72000000000000008</v>
      </c>
      <c r="T55">
        <v>2.25</v>
      </c>
      <c r="U55">
        <v>1.4425199999999999E-4</v>
      </c>
      <c r="V55">
        <v>0.23091700000000001</v>
      </c>
      <c r="W55">
        <v>-0.23091700000000001</v>
      </c>
      <c r="X55">
        <v>-0.76779500000000001</v>
      </c>
      <c r="Y55">
        <f t="shared" si="23"/>
        <v>0.50034164969979911</v>
      </c>
      <c r="Z55">
        <f t="shared" si="24"/>
        <v>0.16485662520847449</v>
      </c>
      <c r="AB55">
        <v>0.72000000000000008</v>
      </c>
      <c r="AC55">
        <v>2.25</v>
      </c>
      <c r="AD55">
        <v>1.12835E-4</v>
      </c>
      <c r="AE55">
        <v>0.23800199999999999</v>
      </c>
      <c r="AF55">
        <v>-0.23800199999999999</v>
      </c>
      <c r="AG55">
        <v>-0.79102499999999998</v>
      </c>
      <c r="AH55">
        <f t="shared" si="30"/>
        <v>0.39137100382578288</v>
      </c>
      <c r="AI55">
        <f t="shared" si="26"/>
        <v>0.1699147594714436</v>
      </c>
      <c r="AK55">
        <v>0.72000000000000008</v>
      </c>
      <c r="AL55">
        <v>2.25</v>
      </c>
      <c r="AM55" s="1">
        <v>8.1969000000000001E-5</v>
      </c>
      <c r="AN55">
        <v>0.256772</v>
      </c>
      <c r="AO55">
        <v>-0.256772</v>
      </c>
      <c r="AP55">
        <v>-0.807253</v>
      </c>
      <c r="AQ55">
        <f t="shared" si="27"/>
        <v>0.2843115151557194</v>
      </c>
      <c r="AR55">
        <f t="shared" si="28"/>
        <v>0.18331506718011412</v>
      </c>
    </row>
    <row r="56" spans="1:44" ht="15" x14ac:dyDescent="0.35">
      <c r="A56" s="2">
        <v>0.76000000000000012</v>
      </c>
      <c r="B56">
        <v>2.3750000000000004</v>
      </c>
      <c r="C56">
        <v>1.81476E-4</v>
      </c>
      <c r="D56">
        <v>0.23015099999999999</v>
      </c>
      <c r="E56">
        <v>-0.23015099999999999</v>
      </c>
      <c r="F56">
        <v>-0.78708900000000004</v>
      </c>
      <c r="G56">
        <f t="shared" si="29"/>
        <v>0.62945401950004676</v>
      </c>
      <c r="H56">
        <f t="shared" si="20"/>
        <v>0.16430976129239341</v>
      </c>
      <c r="J56">
        <v>0.76000000000000012</v>
      </c>
      <c r="K56">
        <v>2.3750000000000004</v>
      </c>
      <c r="L56">
        <v>1.15399E-4</v>
      </c>
      <c r="M56">
        <v>0.238034</v>
      </c>
      <c r="N56">
        <v>-0.238034</v>
      </c>
      <c r="O56">
        <v>-0.82448299999999997</v>
      </c>
      <c r="P56">
        <f t="shared" si="21"/>
        <v>0.62262399982734706</v>
      </c>
      <c r="Q56">
        <f t="shared" si="22"/>
        <v>0.16993760496141044</v>
      </c>
      <c r="S56">
        <v>0.76000000000000012</v>
      </c>
      <c r="T56">
        <v>2.3750000000000004</v>
      </c>
      <c r="U56">
        <v>1.4239600000000001E-4</v>
      </c>
      <c r="V56">
        <v>0.236933</v>
      </c>
      <c r="W56">
        <v>-0.236933</v>
      </c>
      <c r="X56">
        <v>-0.81454300000000002</v>
      </c>
      <c r="Y56">
        <f t="shared" si="23"/>
        <v>0.49390406753911631</v>
      </c>
      <c r="Z56">
        <f t="shared" si="24"/>
        <v>0.16915157732223909</v>
      </c>
      <c r="AB56">
        <v>0.76000000000000012</v>
      </c>
      <c r="AC56">
        <v>2.3750000000000004</v>
      </c>
      <c r="AD56">
        <v>1.10154E-4</v>
      </c>
      <c r="AE56">
        <v>0.24549299999999999</v>
      </c>
      <c r="AF56">
        <v>-0.24549299999999999</v>
      </c>
      <c r="AG56">
        <v>-0.839341</v>
      </c>
      <c r="AH56">
        <f t="shared" si="30"/>
        <v>0.38207188864647751</v>
      </c>
      <c r="AI56">
        <f t="shared" si="26"/>
        <v>0.17526274588836693</v>
      </c>
      <c r="AK56">
        <v>0.76000000000000012</v>
      </c>
      <c r="AL56">
        <v>2.3750000000000004</v>
      </c>
      <c r="AM56" s="1">
        <v>8.1112600000000007E-5</v>
      </c>
      <c r="AN56">
        <v>0.26307999999999998</v>
      </c>
      <c r="AO56">
        <v>-0.26307999999999998</v>
      </c>
      <c r="AP56">
        <v>-0.85923799999999995</v>
      </c>
      <c r="AQ56">
        <f t="shared" si="27"/>
        <v>0.2813410704561457</v>
      </c>
      <c r="AR56">
        <f t="shared" si="28"/>
        <v>0.18781848438982607</v>
      </c>
    </row>
    <row r="57" spans="1:44" ht="15" x14ac:dyDescent="0.35">
      <c r="A57" s="2">
        <v>0.80000000000000016</v>
      </c>
      <c r="B57">
        <v>2.5000000000000004</v>
      </c>
      <c r="C57">
        <v>1.78154E-4</v>
      </c>
      <c r="D57">
        <v>0.23813300000000001</v>
      </c>
      <c r="E57">
        <v>-0.23813300000000001</v>
      </c>
      <c r="F57">
        <v>-0.83387299999999998</v>
      </c>
      <c r="G57">
        <f t="shared" si="29"/>
        <v>0.61793157987839353</v>
      </c>
      <c r="H57">
        <f t="shared" si="20"/>
        <v>0.17000828319599534</v>
      </c>
      <c r="J57">
        <v>0.80000000000000016</v>
      </c>
      <c r="K57">
        <v>2.5000000000000004</v>
      </c>
      <c r="L57">
        <v>1.13779E-4</v>
      </c>
      <c r="M57">
        <v>0.24630199999999999</v>
      </c>
      <c r="N57">
        <v>-0.24630199999999999</v>
      </c>
      <c r="O57">
        <v>-0.87286799999999998</v>
      </c>
      <c r="P57">
        <f t="shared" si="21"/>
        <v>0.61388344852516685</v>
      </c>
      <c r="Q57">
        <f t="shared" si="22"/>
        <v>0.17584030843159093</v>
      </c>
      <c r="S57">
        <v>0.80000000000000016</v>
      </c>
      <c r="T57">
        <v>2.5000000000000004</v>
      </c>
      <c r="U57">
        <v>1.3889499999999999E-4</v>
      </c>
      <c r="V57">
        <v>0.245141</v>
      </c>
      <c r="W57">
        <v>-0.245141</v>
      </c>
      <c r="X57">
        <v>-0.86270400000000003</v>
      </c>
      <c r="Y57">
        <f t="shared" si="23"/>
        <v>0.48176076196554363</v>
      </c>
      <c r="Z57">
        <f t="shared" si="24"/>
        <v>0.17501144549873177</v>
      </c>
      <c r="AB57">
        <v>0.80000000000000016</v>
      </c>
      <c r="AC57">
        <v>2.5000000000000004</v>
      </c>
      <c r="AD57">
        <v>1.06953E-4</v>
      </c>
      <c r="AE57">
        <v>0.25509199999999999</v>
      </c>
      <c r="AF57">
        <v>-0.25509199999999999</v>
      </c>
      <c r="AG57">
        <v>-0.88935399999999998</v>
      </c>
      <c r="AH57">
        <f t="shared" si="30"/>
        <v>0.3709691405342222</v>
      </c>
      <c r="AI57">
        <f t="shared" si="26"/>
        <v>0.18211567895685538</v>
      </c>
      <c r="AK57">
        <v>0.80000000000000016</v>
      </c>
      <c r="AL57">
        <v>2.5000000000000004</v>
      </c>
      <c r="AM57" s="1">
        <v>8.0480899999999997E-5</v>
      </c>
      <c r="AN57">
        <v>0.26955899999999999</v>
      </c>
      <c r="AO57">
        <v>-0.26955899999999999</v>
      </c>
      <c r="AP57">
        <v>-0.91248899999999999</v>
      </c>
      <c r="AQ57">
        <f t="shared" si="27"/>
        <v>0.27915000329509859</v>
      </c>
      <c r="AR57">
        <f t="shared" si="28"/>
        <v>0.19244398218654829</v>
      </c>
    </row>
    <row r="58" spans="1:44" ht="15" x14ac:dyDescent="0.35">
      <c r="A58" s="2">
        <v>0.84000000000000019</v>
      </c>
      <c r="B58">
        <v>2.6250000000000004</v>
      </c>
      <c r="C58">
        <v>1.7607000000000001E-4</v>
      </c>
      <c r="D58">
        <v>0.248748</v>
      </c>
      <c r="E58">
        <v>-0.248748</v>
      </c>
      <c r="F58">
        <v>-0.88250600000000001</v>
      </c>
      <c r="G58">
        <f t="shared" si="29"/>
        <v>0.6107031740471095</v>
      </c>
      <c r="H58">
        <f t="shared" si="20"/>
        <v>0.17758656057093072</v>
      </c>
      <c r="J58">
        <v>0.84000000000000019</v>
      </c>
      <c r="K58">
        <v>2.6250000000000004</v>
      </c>
      <c r="L58">
        <v>1.11932E-4</v>
      </c>
      <c r="M58">
        <v>0.25769300000000001</v>
      </c>
      <c r="N58">
        <v>-0.25769300000000001</v>
      </c>
      <c r="O58">
        <v>-0.92320100000000005</v>
      </c>
      <c r="P58">
        <f t="shared" si="21"/>
        <v>0.60391814096027363</v>
      </c>
      <c r="Q58">
        <f t="shared" si="22"/>
        <v>0.18397258893822205</v>
      </c>
      <c r="S58">
        <v>0.84000000000000019</v>
      </c>
      <c r="T58">
        <v>2.6250000000000004</v>
      </c>
      <c r="U58">
        <v>1.3552799999999999E-4</v>
      </c>
      <c r="V58">
        <v>0.256274</v>
      </c>
      <c r="W58">
        <v>-0.256274</v>
      </c>
      <c r="X58">
        <v>-0.91278199999999998</v>
      </c>
      <c r="Y58">
        <f t="shared" si="23"/>
        <v>0.47008223872469274</v>
      </c>
      <c r="Z58">
        <f t="shared" si="24"/>
        <v>0.18295953424250527</v>
      </c>
      <c r="AB58">
        <v>0.84000000000000019</v>
      </c>
      <c r="AC58">
        <v>2.6250000000000004</v>
      </c>
      <c r="AD58">
        <v>1.0252299999999999E-4</v>
      </c>
      <c r="AE58">
        <v>0.26777099999999998</v>
      </c>
      <c r="AF58">
        <v>-0.26777099999999998</v>
      </c>
      <c r="AG58">
        <v>-0.94157299999999999</v>
      </c>
      <c r="AH58">
        <f t="shared" si="30"/>
        <v>0.35560357535543702</v>
      </c>
      <c r="AI58">
        <f t="shared" si="26"/>
        <v>0.1911674904346515</v>
      </c>
      <c r="AK58">
        <v>0.84000000000000019</v>
      </c>
      <c r="AL58">
        <v>2.6250000000000004</v>
      </c>
      <c r="AM58" s="1">
        <v>7.8460699999999999E-5</v>
      </c>
      <c r="AN58">
        <v>0.27777200000000002</v>
      </c>
      <c r="AO58">
        <v>-0.27777200000000002</v>
      </c>
      <c r="AP58">
        <v>-0.96716299999999999</v>
      </c>
      <c r="AQ58">
        <f t="shared" si="27"/>
        <v>0.27214288935058806</v>
      </c>
      <c r="AR58">
        <f t="shared" si="28"/>
        <v>0.1983074199708483</v>
      </c>
    </row>
    <row r="59" spans="1:44" ht="15" x14ac:dyDescent="0.35">
      <c r="A59" s="2">
        <v>0.88000000000000023</v>
      </c>
      <c r="B59">
        <v>2.7500000000000004</v>
      </c>
      <c r="C59">
        <v>1.7235300000000001E-4</v>
      </c>
      <c r="D59">
        <v>0.26280700000000001</v>
      </c>
      <c r="E59">
        <v>-0.26280700000000001</v>
      </c>
      <c r="F59">
        <v>-0.933589</v>
      </c>
      <c r="G59">
        <f t="shared" si="29"/>
        <v>0.59781066710138842</v>
      </c>
      <c r="H59">
        <f t="shared" si="20"/>
        <v>0.18762358380354655</v>
      </c>
      <c r="J59">
        <v>0.88000000000000023</v>
      </c>
      <c r="K59">
        <v>2.7500000000000004</v>
      </c>
      <c r="L59">
        <v>1.0949499999999999E-4</v>
      </c>
      <c r="M59">
        <v>0.273399</v>
      </c>
      <c r="N59">
        <v>-0.273399</v>
      </c>
      <c r="O59">
        <v>-0.97621999999999998</v>
      </c>
      <c r="P59">
        <f t="shared" si="21"/>
        <v>0.59076954619273447</v>
      </c>
      <c r="Q59">
        <f t="shared" si="22"/>
        <v>0.19518544098256826</v>
      </c>
      <c r="S59">
        <v>0.88000000000000023</v>
      </c>
      <c r="T59">
        <v>2.7500000000000004</v>
      </c>
      <c r="U59">
        <v>1.31335E-4</v>
      </c>
      <c r="V59">
        <v>0.27143</v>
      </c>
      <c r="W59">
        <v>-0.27143</v>
      </c>
      <c r="X59">
        <v>-0.96546799999999999</v>
      </c>
      <c r="Y59">
        <f t="shared" si="23"/>
        <v>0.45553871394034828</v>
      </c>
      <c r="Z59">
        <f t="shared" si="24"/>
        <v>0.19377972942804658</v>
      </c>
      <c r="AB59">
        <v>0.88000000000000023</v>
      </c>
      <c r="AC59">
        <v>2.7500000000000004</v>
      </c>
      <c r="AD59" s="1">
        <v>9.7823000000000002E-5</v>
      </c>
      <c r="AE59">
        <v>0.28514600000000001</v>
      </c>
      <c r="AF59">
        <v>-0.28514600000000001</v>
      </c>
      <c r="AG59">
        <v>-0.99676299999999995</v>
      </c>
      <c r="AH59">
        <f t="shared" si="30"/>
        <v>0.33930150846146639</v>
      </c>
      <c r="AI59">
        <f t="shared" si="26"/>
        <v>0.20357187756508038</v>
      </c>
      <c r="AK59">
        <v>0.88000000000000023</v>
      </c>
      <c r="AL59">
        <v>2.7500000000000004</v>
      </c>
      <c r="AM59" s="1">
        <v>7.3953600000000003E-5</v>
      </c>
      <c r="AN59">
        <v>0.29125200000000001</v>
      </c>
      <c r="AO59">
        <v>-0.29125200000000001</v>
      </c>
      <c r="AP59">
        <v>-1.0239400000000001</v>
      </c>
      <c r="AQ59">
        <f t="shared" si="27"/>
        <v>0.25650990090424441</v>
      </c>
      <c r="AR59">
        <f t="shared" si="28"/>
        <v>0.20793108261937671</v>
      </c>
    </row>
    <row r="60" spans="1:44" ht="15" x14ac:dyDescent="0.35">
      <c r="A60" s="2">
        <v>0.92000000000000026</v>
      </c>
      <c r="B60">
        <v>2.8750000000000009</v>
      </c>
      <c r="C60">
        <v>1.67851E-4</v>
      </c>
      <c r="D60">
        <v>0.28131800000000001</v>
      </c>
      <c r="E60">
        <v>-0.28131800000000001</v>
      </c>
      <c r="F60">
        <v>-0.98790999999999995</v>
      </c>
      <c r="G60">
        <f t="shared" si="29"/>
        <v>0.58219536813188721</v>
      </c>
      <c r="H60">
        <f t="shared" si="20"/>
        <v>0.20083898582779799</v>
      </c>
      <c r="J60" s="1">
        <v>0.92000000000000026</v>
      </c>
      <c r="K60">
        <v>2.8750000000000009</v>
      </c>
      <c r="L60">
        <v>1.06298E-4</v>
      </c>
      <c r="M60">
        <v>0.294653</v>
      </c>
      <c r="N60">
        <v>-0.294653</v>
      </c>
      <c r="O60">
        <v>-1.03291</v>
      </c>
      <c r="P60">
        <f t="shared" si="21"/>
        <v>0.57352044587602447</v>
      </c>
      <c r="Q60">
        <f t="shared" si="22"/>
        <v>0.21035912984991417</v>
      </c>
      <c r="S60">
        <v>0.92000000000000026</v>
      </c>
      <c r="T60">
        <v>2.8750000000000009</v>
      </c>
      <c r="U60">
        <v>1.2595299999999999E-4</v>
      </c>
      <c r="V60">
        <v>0.291877</v>
      </c>
      <c r="W60">
        <v>-0.291877</v>
      </c>
      <c r="X60">
        <v>-1.02169</v>
      </c>
      <c r="Y60">
        <f t="shared" si="23"/>
        <v>0.43687111308431631</v>
      </c>
      <c r="Z60">
        <f t="shared" si="24"/>
        <v>0.20837728359529142</v>
      </c>
      <c r="AB60">
        <v>0.92000000000000026</v>
      </c>
      <c r="AC60">
        <v>2.8750000000000009</v>
      </c>
      <c r="AD60" s="1">
        <v>9.20062E-5</v>
      </c>
      <c r="AE60">
        <v>0.30937900000000002</v>
      </c>
      <c r="AF60">
        <v>-0.30937900000000002</v>
      </c>
      <c r="AG60">
        <v>-1.0560799999999999</v>
      </c>
      <c r="AH60">
        <f t="shared" si="30"/>
        <v>0.31912579299149862</v>
      </c>
      <c r="AI60">
        <f t="shared" si="26"/>
        <v>0.22087233876402618</v>
      </c>
      <c r="AK60">
        <v>0.92000000000000026</v>
      </c>
      <c r="AL60">
        <v>2.8750000000000009</v>
      </c>
      <c r="AM60" s="1">
        <v>6.8803899999999994E-5</v>
      </c>
      <c r="AN60">
        <v>0.31367200000000001</v>
      </c>
      <c r="AO60">
        <v>-0.31367200000000001</v>
      </c>
      <c r="AP60">
        <v>-1.08426</v>
      </c>
      <c r="AQ60">
        <f t="shared" si="27"/>
        <v>0.23864803837575913</v>
      </c>
      <c r="AR60">
        <f t="shared" si="28"/>
        <v>0.22393720402738912</v>
      </c>
    </row>
    <row r="61" spans="1:44" ht="15" x14ac:dyDescent="0.35">
      <c r="A61" s="2">
        <v>0.9600000000000003</v>
      </c>
      <c r="B61">
        <v>3.0000000000000009</v>
      </c>
      <c r="C61">
        <v>1.62437E-4</v>
      </c>
      <c r="D61">
        <v>0.30528499999999997</v>
      </c>
      <c r="E61">
        <v>-0.30528499999999997</v>
      </c>
      <c r="F61">
        <v>-1.0464599999999999</v>
      </c>
      <c r="G61">
        <f t="shared" si="29"/>
        <v>0.5634167744799814</v>
      </c>
      <c r="H61">
        <f t="shared" si="20"/>
        <v>0.21794954389139445</v>
      </c>
      <c r="J61" s="1">
        <v>0.9600000000000003</v>
      </c>
      <c r="K61">
        <v>3.0000000000000009</v>
      </c>
      <c r="L61">
        <v>1.02996E-4</v>
      </c>
      <c r="M61">
        <v>0.32249100000000003</v>
      </c>
      <c r="N61">
        <v>-0.32249100000000003</v>
      </c>
      <c r="O61">
        <v>-1.0945100000000001</v>
      </c>
      <c r="P61">
        <f t="shared" si="21"/>
        <v>0.55570482834528412</v>
      </c>
      <c r="Q61">
        <f t="shared" si="22"/>
        <v>0.23023327827793602</v>
      </c>
      <c r="S61">
        <v>0.9600000000000003</v>
      </c>
      <c r="T61">
        <v>3.0000000000000009</v>
      </c>
      <c r="U61">
        <v>1.18886E-4</v>
      </c>
      <c r="V61">
        <v>0.31861099999999998</v>
      </c>
      <c r="W61">
        <v>-0.31861099999999998</v>
      </c>
      <c r="X61">
        <v>-1.0826199999999999</v>
      </c>
      <c r="Y61">
        <f t="shared" si="23"/>
        <v>0.41235904782055238</v>
      </c>
      <c r="Z61">
        <f t="shared" si="24"/>
        <v>0.22746326261945748</v>
      </c>
      <c r="AB61">
        <v>0.9600000000000003</v>
      </c>
      <c r="AC61">
        <v>3.0000000000000009</v>
      </c>
      <c r="AD61" s="1">
        <v>8.5406699999999997E-5</v>
      </c>
      <c r="AE61">
        <v>0.341748</v>
      </c>
      <c r="AF61">
        <v>-0.341748</v>
      </c>
      <c r="AG61">
        <v>-1.1210500000000001</v>
      </c>
      <c r="AH61">
        <f t="shared" si="30"/>
        <v>0.29623526310495407</v>
      </c>
      <c r="AI61">
        <f t="shared" si="26"/>
        <v>0.24398126578703924</v>
      </c>
      <c r="AK61">
        <v>0.9600000000000003</v>
      </c>
      <c r="AL61">
        <v>3.0000000000000009</v>
      </c>
      <c r="AM61" s="1">
        <v>6.1578499999999993E-5</v>
      </c>
      <c r="AN61">
        <v>0.34675800000000001</v>
      </c>
      <c r="AO61">
        <v>-0.34675800000000001</v>
      </c>
      <c r="AP61">
        <v>-1.1501300000000001</v>
      </c>
      <c r="AQ61">
        <f t="shared" si="27"/>
        <v>0.21358655877241964</v>
      </c>
      <c r="AR61">
        <f t="shared" si="28"/>
        <v>0.24755801280997156</v>
      </c>
    </row>
    <row r="62" spans="1:44" ht="15" x14ac:dyDescent="0.35">
      <c r="A62" s="2">
        <v>1.0000000000000002</v>
      </c>
      <c r="B62">
        <v>3.1250000000000004</v>
      </c>
      <c r="C62">
        <v>1.57365E-4</v>
      </c>
      <c r="D62">
        <v>0.33506599999999997</v>
      </c>
      <c r="E62">
        <v>-0.33506599999999997</v>
      </c>
      <c r="F62">
        <v>-1.11039</v>
      </c>
      <c r="G62">
        <f t="shared" si="29"/>
        <v>0.54582441633397727</v>
      </c>
      <c r="H62">
        <f t="shared" si="20"/>
        <v>0.23921084191333991</v>
      </c>
      <c r="J62" s="1">
        <v>1.0000000000000002</v>
      </c>
      <c r="K62">
        <v>3.1250000000000004</v>
      </c>
      <c r="L62" s="1">
        <v>9.94201E-5</v>
      </c>
      <c r="M62">
        <v>0.35684399999999999</v>
      </c>
      <c r="N62">
        <v>-0.35684399999999999</v>
      </c>
      <c r="O62">
        <v>-1.1623300000000001</v>
      </c>
      <c r="P62">
        <f t="shared" si="21"/>
        <v>0.53641141019623073</v>
      </c>
      <c r="Q62">
        <f t="shared" si="22"/>
        <v>0.25475862567889274</v>
      </c>
      <c r="S62">
        <v>1.0000000000000002</v>
      </c>
      <c r="T62">
        <v>3.1250000000000004</v>
      </c>
      <c r="U62">
        <v>1.13929E-4</v>
      </c>
      <c r="V62">
        <v>0.351717</v>
      </c>
      <c r="W62">
        <v>-0.351717</v>
      </c>
      <c r="X62">
        <v>-1.1495500000000001</v>
      </c>
      <c r="Y62">
        <f t="shared" si="23"/>
        <v>0.39516557003471992</v>
      </c>
      <c r="Z62">
        <f t="shared" si="24"/>
        <v>0.25109834983326917</v>
      </c>
      <c r="AB62">
        <v>1.0000000000000002</v>
      </c>
      <c r="AC62">
        <v>3.1250000000000004</v>
      </c>
      <c r="AD62" s="1">
        <v>7.8987300000000002E-5</v>
      </c>
      <c r="AE62">
        <v>0.380664</v>
      </c>
      <c r="AF62">
        <v>-0.380664</v>
      </c>
      <c r="AG62">
        <v>-1.1932</v>
      </c>
      <c r="AH62">
        <f t="shared" si="30"/>
        <v>0.27396941454768703</v>
      </c>
      <c r="AI62">
        <f t="shared" si="26"/>
        <v>0.27176423727295407</v>
      </c>
      <c r="AK62">
        <v>1.0000000000000002</v>
      </c>
      <c r="AL62">
        <v>3.1250000000000004</v>
      </c>
      <c r="AM62" s="1">
        <v>5.62507E-5</v>
      </c>
      <c r="AN62">
        <v>0.38808199999999998</v>
      </c>
      <c r="AO62">
        <v>-0.38808199999999998</v>
      </c>
      <c r="AP62">
        <v>-1.2235100000000001</v>
      </c>
      <c r="AQ62">
        <f t="shared" si="27"/>
        <v>0.19510695196439906</v>
      </c>
      <c r="AR62">
        <f t="shared" si="28"/>
        <v>0.27706010741589054</v>
      </c>
    </row>
    <row r="63" spans="1:44" ht="15" x14ac:dyDescent="0.35">
      <c r="A63" s="2">
        <v>1.0400000000000003</v>
      </c>
      <c r="B63">
        <v>3.2500000000000009</v>
      </c>
      <c r="C63">
        <v>1.5211200000000001E-4</v>
      </c>
      <c r="D63">
        <v>0.36969400000000002</v>
      </c>
      <c r="E63">
        <v>-0.36969400000000002</v>
      </c>
      <c r="F63">
        <v>-1.18079</v>
      </c>
      <c r="G63">
        <f t="shared" si="29"/>
        <v>0.52760425518631182</v>
      </c>
      <c r="H63">
        <f t="shared" si="20"/>
        <v>0.26393251774369914</v>
      </c>
      <c r="J63" s="1">
        <v>1.0400000000000003</v>
      </c>
      <c r="K63">
        <v>3.2500000000000009</v>
      </c>
      <c r="L63" s="1">
        <v>9.5760000000000005E-5</v>
      </c>
      <c r="M63">
        <v>0.39583600000000002</v>
      </c>
      <c r="N63">
        <v>-0.39583600000000002</v>
      </c>
      <c r="O63">
        <v>-1.2375400000000001</v>
      </c>
      <c r="P63">
        <f t="shared" si="21"/>
        <v>0.51666369919554556</v>
      </c>
      <c r="Q63">
        <f t="shared" si="22"/>
        <v>0.2825958552034788</v>
      </c>
      <c r="S63">
        <v>1.0400000000000003</v>
      </c>
      <c r="T63">
        <v>3.2500000000000009</v>
      </c>
      <c r="U63">
        <v>1.08082E-4</v>
      </c>
      <c r="V63">
        <v>0.38952900000000001</v>
      </c>
      <c r="W63">
        <v>-0.38952900000000001</v>
      </c>
      <c r="X63">
        <v>-1.2236100000000001</v>
      </c>
      <c r="Y63">
        <f t="shared" si="23"/>
        <v>0.3748851051136462</v>
      </c>
      <c r="Z63">
        <f t="shared" si="24"/>
        <v>0.2780931519153283</v>
      </c>
      <c r="AB63">
        <v>1.0400000000000003</v>
      </c>
      <c r="AC63">
        <v>3.2500000000000009</v>
      </c>
      <c r="AD63" s="1">
        <v>7.3826900000000003E-5</v>
      </c>
      <c r="AE63">
        <v>0.42137999999999998</v>
      </c>
      <c r="AF63">
        <v>-0.42137999999999998</v>
      </c>
      <c r="AG63">
        <v>-1.27342</v>
      </c>
      <c r="AH63">
        <f t="shared" si="30"/>
        <v>0.25607043880308145</v>
      </c>
      <c r="AI63">
        <f t="shared" si="26"/>
        <v>0.30083226756950321</v>
      </c>
      <c r="AK63">
        <v>1.0400000000000003</v>
      </c>
      <c r="AL63">
        <v>3.2500000000000009</v>
      </c>
      <c r="AM63" s="1">
        <v>5.5409581E-5</v>
      </c>
      <c r="AN63">
        <v>0.43275200000000003</v>
      </c>
      <c r="AO63">
        <v>-0.43275200000000003</v>
      </c>
      <c r="AP63">
        <v>-1.30558</v>
      </c>
      <c r="AQ63">
        <f t="shared" si="27"/>
        <v>0.19218950979337995</v>
      </c>
      <c r="AR63">
        <f t="shared" si="28"/>
        <v>0.30895098356646655</v>
      </c>
    </row>
    <row r="64" spans="1:44" ht="15" x14ac:dyDescent="0.35">
      <c r="A64" s="2"/>
      <c r="H64" s="2"/>
      <c r="J64" s="1"/>
      <c r="L64" s="1"/>
      <c r="AD64" s="1"/>
      <c r="AM64" s="1"/>
    </row>
    <row r="65" spans="1:30" ht="15" x14ac:dyDescent="0.35">
      <c r="A65" s="2"/>
      <c r="H65" s="2"/>
      <c r="J65" s="1"/>
      <c r="L65" s="1"/>
      <c r="U65" s="1"/>
      <c r="AD65" s="1"/>
    </row>
    <row r="66" spans="1:30" ht="15" x14ac:dyDescent="0.35">
      <c r="A66" s="2"/>
      <c r="H66" s="2"/>
      <c r="J66" s="1"/>
    </row>
    <row r="67" spans="1:30" ht="15" x14ac:dyDescent="0.35">
      <c r="A67" s="2"/>
      <c r="H67" s="2"/>
      <c r="J67" s="1"/>
      <c r="U67" s="1"/>
    </row>
    <row r="68" spans="1:30" ht="15" x14ac:dyDescent="0.35">
      <c r="A68" s="2"/>
      <c r="H68" s="2"/>
      <c r="J68" s="1"/>
    </row>
    <row r="69" spans="1:30" ht="15" x14ac:dyDescent="0.35">
      <c r="A69" s="2"/>
      <c r="H69" s="2"/>
    </row>
    <row r="70" spans="1:30" ht="15" x14ac:dyDescent="0.35">
      <c r="A70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2025-08-30T13:28:56Z</dcterms:created>
  <dcterms:modified xsi:type="dcterms:W3CDTF">2025-11-03T08:55:15Z</dcterms:modified>
</cp:coreProperties>
</file>